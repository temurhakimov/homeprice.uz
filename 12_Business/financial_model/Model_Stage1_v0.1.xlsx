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ходные данные" sheetId="1" state="visible" r:id="rId3"/>
    <sheet name="Вопросы к Темуру" sheetId="2" state="visible" r:id="rId4"/>
    <sheet name="Юнит-экономика" sheetId="3" state="visible" r:id="rId5"/>
    <sheet name="Воронка" sheetId="4" state="visible" r:id="rId6"/>
    <sheet name="Сценарии_BEP" sheetId="5" state="visible" r:id="rId7"/>
    <sheet name="D10_I1" sheetId="6" state="visible" r:id="rId8"/>
    <sheet name="Чувствительность" sheetId="7" state="visible" r:id="rId9"/>
    <sheet name="Проверка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<sst xmlns="http://schemas.openxmlformats.org/spreadsheetml/2006/main" count="796" uniqueCount="583">
  <si>
    <t xml:space="preserve">Модель этапа 1 HomePrice.uz v0.1 — Входные данные</t>
  </si>
  <si>
    <t xml:space="preserve">Единицы: сум, если не указано иное. Формулы других листов читают только этот лист. Ячейка «База» (столбец F) — то, что вы вводите; «Пессимист» и «Оптимист» берутся из неё, если не заданы отдельно.</t>
  </si>
  <si>
    <t xml:space="preserve">Цветовая разметка</t>
  </si>
  <si>
    <t xml:space="preserve">[факт] — известно из документов или от владельца (18.10.2026)</t>
  </si>
  <si>
    <t xml:space="preserve">[гипотеза] — предположение; часть помечена [проверить]</t>
  </si>
  <si>
    <t xml:space="preserve">[заглушка] — временное значение до данных (market_sizing.xlsx и др.), не оценка</t>
  </si>
  <si>
    <t xml:space="preserve">нужно от Темура — пусто, пока нет данных; модель считает пустое как 0 и сообщает об этом в листе «Проверка»</t>
  </si>
  <si>
    <t xml:space="preserve">[выбор] — переключатель модели</t>
  </si>
  <si>
    <t xml:space="preserve">Статус проверки модели:</t>
  </si>
  <si>
    <t xml:space="preserve">№</t>
  </si>
  <si>
    <t xml:space="preserve">Параметр</t>
  </si>
  <si>
    <t xml:space="preserve">Ед.</t>
  </si>
  <si>
    <t xml:space="preserve">Статус</t>
  </si>
  <si>
    <t xml:space="preserve">Пессимист</t>
  </si>
  <si>
    <t xml:space="preserve">База</t>
  </si>
  <si>
    <t xml:space="preserve">Оптимист</t>
  </si>
  <si>
    <t xml:space="preserve">Источник</t>
  </si>
  <si>
    <t xml:space="preserve">Комментарий / что нужно</t>
  </si>
  <si>
    <t xml:space="preserve">A. Цена и срок отчёта уровня 3</t>
  </si>
  <si>
    <t xml:space="preserve">P01</t>
  </si>
  <si>
    <t xml:space="preserve">Цена отчёта уровня 3 (KMT), средний чек</t>
  </si>
  <si>
    <t xml:space="preserve">сум</t>
  </si>
  <si>
    <t xml:space="preserve">[факт]</t>
  </si>
  <si>
    <t xml:space="preserve">Владелец 18.10.2026; 05_4P; 02_Marketing_Context</t>
  </si>
  <si>
    <t xml:space="preserve">Входит ли НДС — см. строку ниже.</t>
  </si>
  <si>
    <t xml:space="preserve">P02</t>
  </si>
  <si>
    <t xml:space="preserve">Срок отчёта</t>
  </si>
  <si>
    <t xml:space="preserve">дней</t>
  </si>
  <si>
    <t xml:space="preserve">05_4P; 02_Marketing_Context</t>
  </si>
  <si>
    <t xml:space="preserve">Цель — 1 день. В расчёте не используется.</t>
  </si>
  <si>
    <t xml:space="preserve">P03</t>
  </si>
  <si>
    <t xml:space="preserve">Цена включает НДС? (1 = да, 0 = нет)</t>
  </si>
  <si>
    <t xml:space="preserve">1/0</t>
  </si>
  <si>
    <t xml:space="preserve">нужно от Темура</t>
  </si>
  <si>
    <t xml:space="preserve">14_Rebaseline п.4.1 [проверить]</t>
  </si>
  <si>
    <t xml:space="preserve">Пусто = НДС не вычитается (выручка = цена). Вопрос Q8.</t>
  </si>
  <si>
    <t xml:space="preserve">P04</t>
  </si>
  <si>
    <t xml:space="preserve">Ставка НДС</t>
  </si>
  <si>
    <t xml:space="preserve">%</t>
  </si>
  <si>
    <t xml:space="preserve">—</t>
  </si>
  <si>
    <t xml:space="preserve">Ставку не подставляю: проверить действующую у бухгалтера или юриста. Вопрос Q8.</t>
  </si>
  <si>
    <t xml:space="preserve">P05</t>
  </si>
  <si>
    <t xml:space="preserve">Курс сум за доллар (справочно)</t>
  </si>
  <si>
    <t xml:space="preserve">сум/$</t>
  </si>
  <si>
    <t xml:space="preserve">[гипотеза][проверить]</t>
  </si>
  <si>
    <t xml:space="preserve">05_4P, 14_Rebaseline п.4.1</t>
  </si>
  <si>
    <t xml:space="preserve">Только для пересчёта допустимой стоимости привлечения в доллары. Проверить на дату.</t>
  </si>
  <si>
    <t xml:space="preserve">B. Маржа и прямые затраты одного заказа</t>
  </si>
  <si>
    <t xml:space="preserve">P06</t>
  </si>
  <si>
    <t xml:space="preserve">Метод маржи (1 = процент владельца, 2 = построчно)</t>
  </si>
  <si>
    <t xml:space="preserve">1/2</t>
  </si>
  <si>
    <t xml:space="preserve">[выбор]</t>
  </si>
  <si>
    <t xml:space="preserve">Решение модели</t>
  </si>
  <si>
    <t xml:space="preserve">Перейти на 2, когда будут данные по 20–30 заказам (Q1–Q3). При методе 2 с пустыми строками маржа = 100% — лист «Проверка» это отмечает.</t>
  </si>
  <si>
    <t xml:space="preserve">P07</t>
  </si>
  <si>
    <t xml:space="preserve">Маржа (прибыль) заказа, % выручки</t>
  </si>
  <si>
    <t xml:space="preserve">Владелец 18.10: прибыль ≈50% (его оценка). Пессимист 30% — заглушка из иллюстрации 14 п.4.1 (200–500 тыс. сум)</t>
  </si>
  <si>
    <t xml:space="preserve">Не проверено по заказам. Что входит в «прибыль» (оценщик, выезд, налоги, время администрации)? Q1.</t>
  </si>
  <si>
    <t xml:space="preserve">P08</t>
  </si>
  <si>
    <t xml:space="preserve">Гонорар оценщика / выплата специалисту</t>
  </si>
  <si>
    <t xml:space="preserve">сум/заказ</t>
  </si>
  <si>
    <t xml:space="preserve">Только для метода 2. Q3.</t>
  </si>
  <si>
    <t xml:space="preserve">P09</t>
  </si>
  <si>
    <t xml:space="preserve">Выезд (транспорт, время специалиста)</t>
  </si>
  <si>
    <t xml:space="preserve">Только для метода 2. Q2.</t>
  </si>
  <si>
    <t xml:space="preserve">P10</t>
  </si>
  <si>
    <t xml:space="preserve">Проверка документов, подготовка и оформление отчёта</t>
  </si>
  <si>
    <t xml:space="preserve">P11</t>
  </si>
  <si>
    <t xml:space="preserve">Налоги и сборы с заказа</t>
  </si>
  <si>
    <t xml:space="preserve">Только для метода 2. Q1, Q8.</t>
  </si>
  <si>
    <t xml:space="preserve">P12</t>
  </si>
  <si>
    <t xml:space="preserve">Платёжные и банковские комиссии</t>
  </si>
  <si>
    <t xml:space="preserve">Только для метода 2. Q7.</t>
  </si>
  <si>
    <t xml:space="preserve">P13</t>
  </si>
  <si>
    <t xml:space="preserve">Администрирование, связь, печать</t>
  </si>
  <si>
    <t xml:space="preserve">Только для метода 2. Q1.</t>
  </si>
  <si>
    <t xml:space="preserve">P14</t>
  </si>
  <si>
    <t xml:space="preserve">Юридические и страховые расходы (ответственность оценщика)</t>
  </si>
  <si>
    <t xml:space="preserve">Навык ценообразования: [проверить]</t>
  </si>
  <si>
    <t xml:space="preserve">C. Решения I1, D10 и партнёры</t>
  </si>
  <si>
    <t xml:space="preserve">P15</t>
  </si>
  <si>
    <t xml:space="preserve">I1: кому идут заказы (1 = только KMT, 2 = гибрид: клиент партнёра остаётся партнёру)</t>
  </si>
  <si>
    <t xml:space="preserve">Владелец 18.10: базовый сценарий — заказы только в KMT</t>
  </si>
  <si>
    <t xml:space="preserve">Решение I1 за владельцем и не записано в 08. Оба варианта считаются рядом в листе D10_I1.</t>
  </si>
  <si>
    <t xml:space="preserve">P16</t>
  </si>
  <si>
    <t xml:space="preserve">D10: что видит клиент после оценки (1 = блок KMT с контактами без формы, 2 = нейтральный текст)</t>
  </si>
  <si>
    <t xml:space="preserve">Владелец 18.10: блок KMT с контактами, заказ идёт в KMT, без формы до A4</t>
  </si>
  <si>
    <t xml:space="preserve">Решение D10 за владельцем и не записано в 08. Оба варианта считаются рядом в листе D10_I1.</t>
  </si>
  <si>
    <t xml:space="preserve">P17</t>
  </si>
  <si>
    <t xml:space="preserve">Доля маржи заказа, учитываемая проекту (100% = взгляд владельца на Bizzone и KMT вместе)</t>
  </si>
  <si>
    <t xml:space="preserve">CLAUDE.md: проект ведёт Bizzone, KMT — партнёр; договор Bizzone–KMT в документах не описан</t>
  </si>
  <si>
    <t xml:space="preserve">Если маржа остаётся у KMT, у проекта как юрлица дохода нет. Q9.</t>
  </si>
  <si>
    <t xml:space="preserve">P18</t>
  </si>
  <si>
    <t xml:space="preserve">Доля заказов от рекомендателей (банк, брокер) с вознаграждением</t>
  </si>
  <si>
    <t xml:space="preserve">[гипотеза]</t>
  </si>
  <si>
    <t xml:space="preserve">14_Rebaseline п.4.3: вознаграждение за передачу клиента не вводить, пока юрист не ответил</t>
  </si>
  <si>
    <t xml:space="preserve">Ноль на этапе 1. Q7.</t>
  </si>
  <si>
    <t xml:space="preserve">P19</t>
  </si>
  <si>
    <t xml:space="preserve">Вознаграждение рекомендателю, % от чека</t>
  </si>
  <si>
    <t xml:space="preserve">05_4P: 10–20% от чека (взята середина)</t>
  </si>
  <si>
    <t xml:space="preserve">Применяется к заказам через рекомендателя; на средний заказ — через долю выше.</t>
  </si>
  <si>
    <t xml:space="preserve">P20</t>
  </si>
  <si>
    <t xml:space="preserve">I1 = гибрид: доля заказов, уходящая партнёру (клиент по ссылке или коду партнёра)</t>
  </si>
  <si>
    <t xml:space="preserve">[заглушка]</t>
  </si>
  <si>
    <t xml:space="preserve">Данных нет, значение условное. Q14. См. сетку в «Чувствительность».</t>
  </si>
  <si>
    <t xml:space="preserve">P21</t>
  </si>
  <si>
    <t xml:space="preserve">I1 = гибрид: плата проекту с заказа, переданного партнёру, % от чека</t>
  </si>
  <si>
    <t xml:space="preserve">14 п.4.3: без вознаграждения на этапе 1; 05_4P: 10–20% — для агрегатора (модель B)</t>
  </si>
  <si>
    <t xml:space="preserve">Ноль на этапе 1.</t>
  </si>
  <si>
    <t xml:space="preserve">P22</t>
  </si>
  <si>
    <t xml:space="preserve">D10 = нейтральный текст: какая доля заказов сохраняется относительно блока KMT</t>
  </si>
  <si>
    <t xml:space="preserve">Данных нет. Измерять по кликам на первых 100 результатах (14 п.4.2). Q14.</t>
  </si>
  <si>
    <t xml:space="preserve">D. Допустимое привлечение</t>
  </si>
  <si>
    <t xml:space="preserve">P23</t>
  </si>
  <si>
    <t xml:space="preserve">Потолок доли маржи на привлечение</t>
  </si>
  <si>
    <t xml:space="preserve">14_Rebaseline п.4.1: рабочий потолок 20% маржи, только для расчётов</t>
  </si>
  <si>
    <t xml:space="preserve">Не измерено на этом рынке. Пересмотр на неделе 8–10.</t>
  </si>
  <si>
    <t xml:space="preserve">P24</t>
  </si>
  <si>
    <t xml:space="preserve">Маркетинговый бюджет в месяц</t>
  </si>
  <si>
    <t xml:space="preserve">сум/мес</t>
  </si>
  <si>
    <t xml:space="preserve">08_Decisions п.5; 05_4P: бюджета нет</t>
  </si>
  <si>
    <t xml:space="preserve">Сумму микротестов определяет владелец (Q12).</t>
  </si>
  <si>
    <t xml:space="preserve">E. Воронка</t>
  </si>
  <si>
    <t xml:space="preserve">P25</t>
  </si>
  <si>
    <t xml:space="preserve">Расчётов уровня 1 в месяц (в режиме)</t>
  </si>
  <si>
    <t xml:space="preserve">шт/мес</t>
  </si>
  <si>
    <t xml:space="preserve">Заглушка до market_sizing.xlsx. Ориентир: порог ≥100 расчётов из 05/14</t>
  </si>
  <si>
    <t xml:space="preserve">Не прогноз. Заменить данными market_sizing.xlsx. Q16.</t>
  </si>
  <si>
    <t xml:space="preserve">P26</t>
  </si>
  <si>
    <t xml:space="preserve">Конверсия посетитель → расчёт</t>
  </si>
  <si>
    <t xml:space="preserve">Измерять (E2)</t>
  </si>
  <si>
    <t xml:space="preserve">Данных воронки нет. Пусто = число посетителей не считается.</t>
  </si>
  <si>
    <t xml:space="preserve">P27</t>
  </si>
  <si>
    <t xml:space="preserve">Конверсия расчёт → интерес (контакт или клик по блоку KMT)</t>
  </si>
  <si>
    <t xml:space="preserve">05_4P: контакт 15–25% от ур.1</t>
  </si>
  <si>
    <t xml:space="preserve">До A4 контактов нет: измеряется анонимным кликом по блоку KMT.</t>
  </si>
  <si>
    <t xml:space="preserve">P28</t>
  </si>
  <si>
    <t xml:space="preserve">Конверсия интерес → заказ уровня 3</t>
  </si>
  <si>
    <t xml:space="preserve">05_4P: заказ 2–5% от контакта</t>
  </si>
  <si>
    <t xml:space="preserve">Данных для Узбекистана нет (самокритика в 05).</t>
  </si>
  <si>
    <t xml:space="preserve">P29</t>
  </si>
  <si>
    <t xml:space="preserve">Доля заказов, которых KMT не получил бы без HomePrice</t>
  </si>
  <si>
    <t xml:space="preserve">100% — верхняя граница. Часть заказов KMT получает и так (налог на имущество). Q10.</t>
  </si>
  <si>
    <t xml:space="preserve">P30</t>
  </si>
  <si>
    <t xml:space="preserve">Месяцев выхода на режим</t>
  </si>
  <si>
    <t xml:space="preserve">мес</t>
  </si>
  <si>
    <t xml:space="preserve">05_4P: органика 6–8 недель</t>
  </si>
  <si>
    <t xml:space="preserve">Линейный рост объёма от 0 до режима.</t>
  </si>
  <si>
    <t xml:space="preserve">F. Постоянные операционные расходы (в месяц)</t>
  </si>
  <si>
    <t xml:space="preserve">P31</t>
  </si>
  <si>
    <t xml:space="preserve">Хостинг и сервисы</t>
  </si>
  <si>
    <t xml:space="preserve">Владелец 18.10.2026</t>
  </si>
  <si>
    <t xml:space="preserve">Что входит и с НДС ли — Q6.</t>
  </si>
  <si>
    <t xml:space="preserve">P32</t>
  </si>
  <si>
    <t xml:space="preserve">SMS, колл-центр, платные сервисы, прочее</t>
  </si>
  <si>
    <t xml:space="preserve">Stage1_Plan L4</t>
  </si>
  <si>
    <t xml:space="preserve">Q6.</t>
  </si>
  <si>
    <t xml:space="preserve">G. Часы команды и ставки</t>
  </si>
  <si>
    <t xml:space="preserve">P33</t>
  </si>
  <si>
    <t xml:space="preserve">Единицы часов (1 = в неделю, 2 = в месяц, 3 = на весь этап 1)</t>
  </si>
  <si>
    <t xml:space="preserve">1/2/3</t>
  </si>
  <si>
    <t xml:space="preserve">Владелец 18.10: «единицы времени уточнить»</t>
  </si>
  <si>
    <t xml:space="preserve">Пусто = стоимость труда не считается. Q4.</t>
  </si>
  <si>
    <t xml:space="preserve">P34</t>
  </si>
  <si>
    <t xml:space="preserve">Длительность этапа 1</t>
  </si>
  <si>
    <t xml:space="preserve">Нужна для пересчёта часов. Q11.</t>
  </si>
  <si>
    <t xml:space="preserve">P35</t>
  </si>
  <si>
    <t xml:space="preserve">Часы: Темур</t>
  </si>
  <si>
    <t xml:space="preserve">ч/период</t>
  </si>
  <si>
    <t xml:space="preserve">[факт][проверить]</t>
  </si>
  <si>
    <t xml:space="preserve">Владелец 18.10: 15–20</t>
  </si>
  <si>
    <t xml:space="preserve">Диапазон владельца; пессимист = 20, оптимист = 15. Единицы неизвестны (Q4).</t>
  </si>
  <si>
    <t xml:space="preserve">P36</t>
  </si>
  <si>
    <t xml:space="preserve">Часы: Равшан</t>
  </si>
  <si>
    <t xml:space="preserve">Так же. Q4.</t>
  </si>
  <si>
    <t xml:space="preserve">P37</t>
  </si>
  <si>
    <t xml:space="preserve">Часы: Азиз</t>
  </si>
  <si>
    <t xml:space="preserve">Владелец 18.10: 50</t>
  </si>
  <si>
    <t xml:space="preserve">Единицы неизвестны. Q4.</t>
  </si>
  <si>
    <t xml:space="preserve">P38</t>
  </si>
  <si>
    <t xml:space="preserve">Ставка: Темур</t>
  </si>
  <si>
    <t xml:space="preserve">сум/час</t>
  </si>
  <si>
    <t xml:space="preserve">Владелец: ставки не заданы</t>
  </si>
  <si>
    <t xml:space="preserve">Q5.</t>
  </si>
  <si>
    <t xml:space="preserve">P39</t>
  </si>
  <si>
    <t xml:space="preserve">Ставка: Равшан</t>
  </si>
  <si>
    <t xml:space="preserve">P40</t>
  </si>
  <si>
    <t xml:space="preserve">Ставка: Азиз</t>
  </si>
  <si>
    <t xml:space="preserve">P41</t>
  </si>
  <si>
    <t xml:space="preserve">Доля часов Темура на разработку и запуск (разово)</t>
  </si>
  <si>
    <t xml:space="preserve">Остальное — постоянная работа (контент, интервью). Q4.</t>
  </si>
  <si>
    <t xml:space="preserve">P42</t>
  </si>
  <si>
    <t xml:space="preserve">Доля часов Равшана на разработку и запуск (разово)</t>
  </si>
  <si>
    <t xml:space="preserve">Stage1_Plan, блоки A и M: юридическая основа разовая</t>
  </si>
  <si>
    <t xml:space="preserve">Q4.</t>
  </si>
  <si>
    <t xml:space="preserve">P43</t>
  </si>
  <si>
    <t xml:space="preserve">Доля часов Азиза на разработку и запуск (разово)</t>
  </si>
  <si>
    <t xml:space="preserve">CLAUDE.md: главный программист</t>
  </si>
  <si>
    <t xml:space="preserve">H. Разовые расходы разработки и запуска (вне операционных)</t>
  </si>
  <si>
    <t xml:space="preserve">P44</t>
  </si>
  <si>
    <t xml:space="preserve">Юрист (внешний), документы pd.gov.uz</t>
  </si>
  <si>
    <t xml:space="preserve">Q11.</t>
  </si>
  <si>
    <t xml:space="preserve">P45</t>
  </si>
  <si>
    <t xml:space="preserve">Регистрация, пошлины, сертификаты</t>
  </si>
  <si>
    <t xml:space="preserve">P46</t>
  </si>
  <si>
    <t xml:space="preserve">Договоры Click/Payme, платёжная интеграция</t>
  </si>
  <si>
    <t xml:space="preserve">Stage1_Plan K1</t>
  </si>
  <si>
    <t xml:space="preserve">P47</t>
  </si>
  <si>
    <t xml:space="preserve">Внешняя разработка, дизайн, прочее</t>
  </si>
  <si>
    <t xml:space="preserve">I. Реакция спроса на цену (для проверки цены ±10% и ±20%)</t>
  </si>
  <si>
    <t xml:space="preserve">P48</t>
  </si>
  <si>
    <t xml:space="preserve">Изменение числа заказов при росте цены на 10%</t>
  </si>
  <si>
    <t xml:space="preserve">доля</t>
  </si>
  <si>
    <t xml:space="preserve">Навык ценообразования: чувствительность</t>
  </si>
  <si>
    <t xml:space="preserve">Пример: −0,05 = на 5% меньше заказов. Пусто = объём не реагирует (нереалистично, верхняя граница). Q13.</t>
  </si>
  <si>
    <t xml:space="preserve">Рынок: размер подтянуть из market_sizing.xlsx, когда он будет готов (сейчас — заглушка в строке «Расчётов уровня 1 в месяц»).</t>
  </si>
  <si>
    <t xml:space="preserve">Вопросы к Темуру: что нужно, чтобы заполнить красные ячейки</t>
  </si>
  <si>
    <t xml:space="preserve">Чем раньше ответ, тем раньше модель перестанет занижать затраты. Срок маржи по записке пересборки — 28.10.2026 (14_Rebaseline п.4.1).</t>
  </si>
  <si>
    <t xml:space="preserve">Вопрос</t>
  </si>
  <si>
    <t xml:space="preserve">Зачем (какие ячейки)</t>
  </si>
  <si>
    <t xml:space="preserve">Формат ответа</t>
  </si>
  <si>
    <t xml:space="preserve">Q1</t>
  </si>
  <si>
    <t xml:space="preserve">Маржа последних 20–30 заказов KMT. По каждому: цена, гонорар оценщика, выезд, налоги, прочие прямые затраты, итоговая прибыль. Разбивка по сегментам: ипотека, наследство, суд, налог на имущество, прочее. Что входит в «прибыль ≈50%»?</t>
  </si>
  <si>
    <t xml:space="preserve">Маржа заказа (m_pct, dc1–dc7). Главный драйвер допустимого привлечения и БУ</t>
  </si>
  <si>
    <t xml:space="preserve">Таблица или выгрузка, без ФИО клиентов</t>
  </si>
  <si>
    <t xml:space="preserve">Q2</t>
  </si>
  <si>
    <t xml:space="preserve">Себестоимость выезда: транспорт, время специалиста, доля заказов с выездом.</t>
  </si>
  <si>
    <t xml:space="preserve">dc2</t>
  </si>
  <si>
    <t xml:space="preserve">Сум на заказ и доля</t>
  </si>
  <si>
    <t xml:space="preserve">Q3</t>
  </si>
  <si>
    <t xml:space="preserve">Часы специалиста на один заказ ур.3 и как оплачивается оценщик (оклад, процент с заказа, сдельно).</t>
  </si>
  <si>
    <t xml:space="preserve">dc1, dc3</t>
  </si>
  <si>
    <t xml:space="preserve">Часы и схема оплаты</t>
  </si>
  <si>
    <t xml:space="preserve">Q4</t>
  </si>
  <si>
    <t xml:space="preserve">Единицы часов: «Темур и Равшан 15–20, Азиз 50» — в неделю, в месяц или на весь этап 1? Какая часть — разработка и запуск (разово), какая — постоянная работа (контент, поддержка)?</t>
  </si>
  <si>
    <t xml:space="preserve">h_unit, dT, dR, dA</t>
  </si>
  <si>
    <t xml:space="preserve">1/2/3 и доли</t>
  </si>
  <si>
    <t xml:space="preserve">Q5</t>
  </si>
  <si>
    <t xml:space="preserve">Ставки времени: считать ли время владельца, Равшана и Азиза по рыночной ставке, по зарплате или не считать? Сумма в сум за час или за месяц для каждого.</t>
  </si>
  <si>
    <t xml:space="preserve">rT, rR, rA</t>
  </si>
  <si>
    <t xml:space="preserve">Сум/час или сум/мес на человека</t>
  </si>
  <si>
    <t xml:space="preserve">Q6</t>
  </si>
  <si>
    <t xml:space="preserve">Хостинг и сервисы 1 млн сум в месяц: что входит (сервер в РУз, домены, Telegram-бот, аналитика, SMS, ИИ-ассистент), с НДС ли, изменится ли после pd.gov.uz? Отдельно: SMS, колл-центр.</t>
  </si>
  <si>
    <t xml:space="preserve">host, oth</t>
  </si>
  <si>
    <t xml:space="preserve">Состав и сумма</t>
  </si>
  <si>
    <t xml:space="preserve">Q7</t>
  </si>
  <si>
    <t xml:space="preserve">Комиссии: платим ли рекомендателям (банк, брокер, нотариус) и сколько; комиссия Click/Payme после K1; планируется ли плата партнёрам-оценщикам. Ответ юриста: допустимо ли вознаграждение за передачу клиента.</t>
  </si>
  <si>
    <t xml:space="preserve">share_ref, k_ref, fee_c, dc5</t>
  </si>
  <si>
    <t xml:space="preserve">Процент и решение юриста</t>
  </si>
  <si>
    <t xml:space="preserve">Q8</t>
  </si>
  <si>
    <t xml:space="preserve">НДС: цена 1 млн сум с НДС или без? Какая ставка применяется к KMT?</t>
  </si>
  <si>
    <t xml:space="preserve">vat_incl, vat_rate</t>
  </si>
  <si>
    <t xml:space="preserve">Да/нет и ставка</t>
  </si>
  <si>
    <t xml:space="preserve">Q9</t>
  </si>
  <si>
    <t xml:space="preserve">Договор Bizzone–KMT: кому достаётся маржа заказа, есть ли плата проекту за лиды или лицензию на модели, кто платит за разработку и хостинг?</t>
  </si>
  <si>
    <t xml:space="preserve">share_bz. Определяет, окупается ли проект или только KMT</t>
  </si>
  <si>
    <t xml:space="preserve">Доля маржи проекту, %</t>
  </si>
  <si>
    <t xml:space="preserve">Q10</t>
  </si>
  <si>
    <t xml:space="preserve">Сколько заказов в месяц KMT получает сейчас (в том числе по налогу на имущество) и сколько «новых» заказов пришли бы и без HomePrice? Какова мощность KMT?</t>
  </si>
  <si>
    <t xml:space="preserve">incr; ограничение по мощности</t>
  </si>
  <si>
    <t xml:space="preserve">Число и доля</t>
  </si>
  <si>
    <t xml:space="preserve">Q11</t>
  </si>
  <si>
    <t xml:space="preserve">Длительность этапа 1 в месяцах и разовые расходы: юрист, pd.gov.uz, Click/Payme, внешняя разработка.</t>
  </si>
  <si>
    <t xml:space="preserve">stage_m, ot1–ot4</t>
  </si>
  <si>
    <t xml:space="preserve">Месяцы и суммы</t>
  </si>
  <si>
    <t xml:space="preserve">Q12</t>
  </si>
  <si>
    <t xml:space="preserve">Какой срок окупаемости приемлем? Сколько готовы потерять на микротесты привлечения (вариант C в 05/14)?</t>
  </si>
  <si>
    <t xml:space="preserve">Интерпретация результатов; mkt</t>
  </si>
  <si>
    <t xml:space="preserve">Месяцы и сумма</t>
  </si>
  <si>
    <t xml:space="preserve">Q13</t>
  </si>
  <si>
    <t xml:space="preserve">Как изменится число заказов при цене ±10% (хотя бы по вашему ощущению: меньше, так же, больше)?</t>
  </si>
  <si>
    <t xml:space="preserve">elas</t>
  </si>
  <si>
    <t xml:space="preserve">Доля</t>
  </si>
  <si>
    <t xml:space="preserve">Q14</t>
  </si>
  <si>
    <t xml:space="preserve">Какая доля заказов придёт по ссылкам партнёров, если I1 = гибрид, и какая часть заказов сохранится при нейтральном тексте (D10 = а)? Если ответа нет — оставить заглушки и измерять.</t>
  </si>
  <si>
    <t xml:space="preserve">q_c, m_a</t>
  </si>
  <si>
    <t xml:space="preserve">Оценка владельца или тест</t>
  </si>
  <si>
    <t xml:space="preserve">Q15</t>
  </si>
  <si>
    <t xml:space="preserve">Курс сум/$: оставить 12 000?</t>
  </si>
  <si>
    <t xml:space="preserve">fx</t>
  </si>
  <si>
    <t xml:space="preserve">Число</t>
  </si>
  <si>
    <t xml:space="preserve">Q16</t>
  </si>
  <si>
    <t xml:space="preserve">Когда будет готов market_sizing.xlsx? Подставлю объём расчётов вместо заглушки.</t>
  </si>
  <si>
    <t xml:space="preserve">calcs</t>
  </si>
  <si>
    <t xml:space="preserve">Дата</t>
  </si>
  <si>
    <t xml:space="preserve">Юнит-экономика заказа уровня 3 (отчёт KMT)</t>
  </si>
  <si>
    <t xml:space="preserve">Все числа — из листа «Входные данные». Выручка и маржа заказа возникают в KMT; доля, учитываемая проекту, задаётся параметром share_bz.</t>
  </si>
  <si>
    <t xml:space="preserve">Показатель</t>
  </si>
  <si>
    <t xml:space="preserve">Комментарий</t>
  </si>
  <si>
    <t xml:space="preserve">1. Выручка и прямые затраты</t>
  </si>
  <si>
    <t xml:space="preserve">Цена отчёта</t>
  </si>
  <si>
    <t xml:space="preserve">[факт] 1 млн сум</t>
  </si>
  <si>
    <t xml:space="preserve">НДС в цене</t>
  </si>
  <si>
    <t xml:space="preserve">Пока НДС не задан — 0 (нужно от Темура)</t>
  </si>
  <si>
    <t xml:space="preserve">Выручка без НДС</t>
  </si>
  <si>
    <t xml:space="preserve">Сумма построчных прямых затрат (метод 2)</t>
  </si>
  <si>
    <t xml:space="preserve">Пока пусто — нужно от Темура</t>
  </si>
  <si>
    <t xml:space="preserve">Прямые затраты на заказ</t>
  </si>
  <si>
    <t xml:space="preserve">Метод 1: выручка × (1 − маржа владельца)</t>
  </si>
  <si>
    <t xml:space="preserve">Маржа заказа до комиссии</t>
  </si>
  <si>
    <t xml:space="preserve">Маржа, % выручки</t>
  </si>
  <si>
    <t xml:space="preserve">Источник маржи</t>
  </si>
  <si>
    <t xml:space="preserve">2. Комиссия партнёра-рекомендателя</t>
  </si>
  <si>
    <t xml:space="preserve">Комиссия на заказ, пришедший через рекомендателя</t>
  </si>
  <si>
    <t xml:space="preserve">[гипотеза] 10–20% от чека (05_4P)</t>
  </si>
  <si>
    <t xml:space="preserve">Маржа такого заказа после комиссии</t>
  </si>
  <si>
    <t xml:space="preserve">Комиссия съедает, % маржи</t>
  </si>
  <si>
    <t xml:space="preserve">В 14_Rebaseline: 33–67% при марже 300 тыс. сум</t>
  </si>
  <si>
    <t xml:space="preserve">Комиссия на средний заказ (с учётом доли рекомендателей)</t>
  </si>
  <si>
    <t xml:space="preserve">Доля на этапе 1 — 0 по рекомендации 14</t>
  </si>
  <si>
    <t xml:space="preserve">Маржа среднего заказа после комиссии</t>
  </si>
  <si>
    <t xml:space="preserve">База для допустимого привлечения</t>
  </si>
  <si>
    <t xml:space="preserve">3. Допустимая стоимость привлечения (потолок = доля маржи)</t>
  </si>
  <si>
    <t xml:space="preserve">Допустимо на один заказ</t>
  </si>
  <si>
    <t xml:space="preserve">[гипотеза] 20% маржи (14, п.4.1)</t>
  </si>
  <si>
    <t xml:space="preserve">Допустимо на один «интерес» (контакт, клик)</t>
  </si>
  <si>
    <t xml:space="preserve">Допустимо на один расчёт уровня 1</t>
  </si>
  <si>
    <t xml:space="preserve">Учитывает инкрементальность. Платный трафик на потребительский калькулятор окупается только при очень дешёвом клике</t>
  </si>
  <si>
    <t xml:space="preserve">То же, долларов</t>
  </si>
  <si>
    <t xml:space="preserve">Комиссия рекомендателя больше потолка привлечения в … раз</t>
  </si>
  <si>
    <t xml:space="preserve">Если &gt;1, вознаграждение выше потолка 20% и вводить его нельзя без пересмотра потолка</t>
  </si>
  <si>
    <t xml:space="preserve">4. Маржа проекта на один заказ по решению I1</t>
  </si>
  <si>
    <t xml:space="preserve">I1 = только KMT</t>
  </si>
  <si>
    <t xml:space="preserve">I1 = гибрид (клиент партнёра остаётся партнёру)</t>
  </si>
  <si>
    <t xml:space="preserve">Заказы партнёра дают только плату fee_c, остальное — маржу KMT</t>
  </si>
  <si>
    <t xml:space="preserve">Выбранный вариант (см. «Входные данные»)</t>
  </si>
  <si>
    <t xml:space="preserve">Воронка: посетитель → расчёт → интерес → заказ</t>
  </si>
  <si>
    <t xml:space="preserve">Конверсии из 05_4P — гипотезы. До A4 «интерес» измеряется анонимным кликом по блоку KMT, не контактом.</t>
  </si>
  <si>
    <t xml:space="preserve">Посетителей в месяц</t>
  </si>
  <si>
    <t xml:space="preserve">Нужна конверсия посетитель → расчёт (нужно от Темура / E2)</t>
  </si>
  <si>
    <t xml:space="preserve">Расчётов уровня 1 в месяц</t>
  </si>
  <si>
    <t xml:space="preserve">[заглушка] до market_sizing.xlsx</t>
  </si>
  <si>
    <t xml:space="preserve">Конверсия расчёт → интерес</t>
  </si>
  <si>
    <t xml:space="preserve">[гипотеза] 05_4P</t>
  </si>
  <si>
    <t xml:space="preserve">Интересов в месяц</t>
  </si>
  <si>
    <t xml:space="preserve">Конверсия интерес → заказ</t>
  </si>
  <si>
    <t xml:space="preserve">Заказов уровня 3 в месяц (всего)</t>
  </si>
  <si>
    <t xml:space="preserve">Доля инкрементальных заказов</t>
  </si>
  <si>
    <t xml:space="preserve">[гипотеза][проверить] верхняя граница 100%</t>
  </si>
  <si>
    <t xml:space="preserve">Инкрементальных заказов в месяц</t>
  </si>
  <si>
    <t xml:space="preserve">Сквозная конверсия расчёт → инкрементальный заказ</t>
  </si>
  <si>
    <t xml:space="preserve">Диапазон 0,3% – 1,25% совпадает с 14, п.4.1 (до инкрементальности)</t>
  </si>
  <si>
    <t xml:space="preserve">Расчётов на один заказ</t>
  </si>
  <si>
    <t xml:space="preserve">Влияние решения D10</t>
  </si>
  <si>
    <t xml:space="preserve">Множитель потока по выбранному D10</t>
  </si>
  <si>
    <t xml:space="preserve">б+ = 100%; нейтральный текст = доля m_a [заглушка]</t>
  </si>
  <si>
    <t xml:space="preserve">Заказов в месяц с учётом D10 (режим)</t>
  </si>
  <si>
    <t xml:space="preserve">Выручка заказов в KMT, сум/мес (без НДС)</t>
  </si>
  <si>
    <t xml:space="preserve">Маржа проекта, сум/мес (режим, по выбранному I1)</t>
  </si>
  <si>
    <t xml:space="preserve">Точка безубыточности и окупаемость этапа 1 (три сценария)</t>
  </si>
  <si>
    <t xml:space="preserve">Разработка и запуск считаются отдельно от операционных затрат. Пустые входы считаются нулём — итоги занижают затраты, пока их нет.</t>
  </si>
  <si>
    <t xml:space="preserve">1. Операционные расходы в месяц</t>
  </si>
  <si>
    <t xml:space="preserve">SMS, колл-центр, прочее</t>
  </si>
  <si>
    <t xml:space="preserve">Маркетинг</t>
  </si>
  <si>
    <t xml:space="preserve">[факт] бюджета нет</t>
  </si>
  <si>
    <t xml:space="preserve">Денежные операционные расходы</t>
  </si>
  <si>
    <t xml:space="preserve">Часов в месяц на 1 час «периода»</t>
  </si>
  <si>
    <t xml:space="preserve">0, пока не заданы единицы часов (нужно от Темура)</t>
  </si>
  <si>
    <t xml:space="preserve">Труд, постоянная часть: Темур</t>
  </si>
  <si>
    <t xml:space="preserve">часы × (1 − доля разработки) × коэф. × ставка</t>
  </si>
  <si>
    <t xml:space="preserve">Труд, постоянная часть: Равшан</t>
  </si>
  <si>
    <t xml:space="preserve">Труд, постоянная часть: Азиз</t>
  </si>
  <si>
    <t xml:space="preserve">Труд команды (постоянная часть), сум/мес</t>
  </si>
  <si>
    <t xml:space="preserve">Условная стоимость времени, не денежный расход</t>
  </si>
  <si>
    <t xml:space="preserve">Полные операционные расходы, сум/мес</t>
  </si>
  <si>
    <t xml:space="preserve">2. Разработка и запуск (разово, отдельно от операционных)</t>
  </si>
  <si>
    <t xml:space="preserve">Периодов часов за этап</t>
  </si>
  <si>
    <t xml:space="preserve">Нужны единицы часов и длительность этапа</t>
  </si>
  <si>
    <t xml:space="preserve">Разработка и запуск: Темур</t>
  </si>
  <si>
    <t xml:space="preserve">Разработка и запуск: Равшан</t>
  </si>
  <si>
    <t xml:space="preserve">Разработка и запуск: Азиз</t>
  </si>
  <si>
    <t xml:space="preserve">Разработка: труд команды</t>
  </si>
  <si>
    <t xml:space="preserve">Разовые внешние расходы</t>
  </si>
  <si>
    <t xml:space="preserve">Разработка и запуск, итого</t>
  </si>
  <si>
    <t xml:space="preserve">3. Точка безубыточности (режим, без ramp)</t>
  </si>
  <si>
    <t xml:space="preserve">Маржа проекта на заказ (выбранный I1)</t>
  </si>
  <si>
    <t xml:space="preserve">Эффективная конверсия расчёт → заказ (с учётом D10)</t>
  </si>
  <si>
    <t xml:space="preserve">БУ денежная: заказов в месяц</t>
  </si>
  <si>
    <t xml:space="preserve">Покрывает хостинг, сервисы, маркетинг</t>
  </si>
  <si>
    <t xml:space="preserve">БУ полная: заказов в месяц</t>
  </si>
  <si>
    <t xml:space="preserve">Плюс условная стоимость труда</t>
  </si>
  <si>
    <t xml:space="preserve">БУ денежная: расчётов уровня 1 в месяц</t>
  </si>
  <si>
    <t xml:space="preserve">БУ полная: расчётов уровня 1 в месяц</t>
  </si>
  <si>
    <t xml:space="preserve">БУ полная, если тратить на привлечение весь потолок: заказов в месяц</t>
  </si>
  <si>
    <t xml:space="preserve">Маржа за вычетом привлечения по потолку</t>
  </si>
  <si>
    <t xml:space="preserve">Объём сценария / БУ полная (расчёты), раз</t>
  </si>
  <si>
    <t xml:space="preserve">Меньше 1 — сценарий не покрывает расходы</t>
  </si>
  <si>
    <t xml:space="preserve">Результат в режиме до труда (маржа − денежные), сум/мес</t>
  </si>
  <si>
    <t xml:space="preserve">Результат в режиме с трудом (маржа − полные), сум/мес</t>
  </si>
  <si>
    <t xml:space="preserve">Простая окупаемость разработки, мес</t>
  </si>
  <si>
    <t xml:space="preserve">Разработка ÷ месячный результат в режиме</t>
  </si>
  <si>
    <t xml:space="preserve">4. Итоги 12 месяцев (с ramp)</t>
  </si>
  <si>
    <t xml:space="preserve">Заказов за 12 мес</t>
  </si>
  <si>
    <t xml:space="preserve">Маржа проекта за 12 мес</t>
  </si>
  <si>
    <t xml:space="preserve">Операционный результат за 12 мес</t>
  </si>
  <si>
    <t xml:space="preserve">Итог за 12 мес с разработкой</t>
  </si>
  <si>
    <t xml:space="preserve">Месяц окупаемости операций</t>
  </si>
  <si>
    <t xml:space="preserve">Месяц окупаемости с разработкой</t>
  </si>
  <si>
    <t xml:space="preserve">Окупаемость считается по накопленному результату; если операционный результат в режиме отрицателен, окупаемости нет при любом сроке.</t>
  </si>
  <si>
    <t xml:space="preserve">Помесячно: Пессимист</t>
  </si>
  <si>
    <t xml:space="preserve">Месяц (0 = разработка)</t>
  </si>
  <si>
    <t xml:space="preserve">Итого</t>
  </si>
  <si>
    <t xml:space="preserve">Коэффициент выхода на режим</t>
  </si>
  <si>
    <t xml:space="preserve">Расчётов уровня 1</t>
  </si>
  <si>
    <t xml:space="preserve">Инкрементальных заказов</t>
  </si>
  <si>
    <t xml:space="preserve">Выручка заказов в KMT (без НДС)</t>
  </si>
  <si>
    <t xml:space="preserve">Маржа проекта</t>
  </si>
  <si>
    <t xml:space="preserve">Операционные расходы (полные)</t>
  </si>
  <si>
    <t xml:space="preserve">Операционный результат</t>
  </si>
  <si>
    <t xml:space="preserve">Накопленный операционный результат</t>
  </si>
  <si>
    <t xml:space="preserve">Разработка и запуск (разово)</t>
  </si>
  <si>
    <t xml:space="preserve">Накопленный итог с разработкой</t>
  </si>
  <si>
    <t xml:space="preserve">Флаг: операции окупились (номер месяца)</t>
  </si>
  <si>
    <t xml:space="preserve">Флаг: окупилось с разработкой (номер месяца)</t>
  </si>
  <si>
    <t xml:space="preserve">Помесячно: База</t>
  </si>
  <si>
    <t xml:space="preserve">Помесячно: Оптимист</t>
  </si>
  <si>
    <t xml:space="preserve">Влияние решений D10 и I1: по два варианта, четыре сочетания</t>
  </si>
  <si>
    <t xml:space="preserve">Режим (без ramp). I1: A = только KMT, C = гибрид по принадлежности клиента. D10: б+ = блок KMT с контактами без формы, а = нейтральный текст. Варианты I1-B, I1-D и D10-в/г не моделируются.</t>
  </si>
  <si>
    <t xml:space="preserve">Сценарий: Пессимист</t>
  </si>
  <si>
    <t xml:space="preserve">I1=A · D10=б+</t>
  </si>
  <si>
    <t xml:space="preserve">I1=A · D10=а</t>
  </si>
  <si>
    <t xml:space="preserve">I1=C · D10=б+</t>
  </si>
  <si>
    <t xml:space="preserve">I1=C · D10=а</t>
  </si>
  <si>
    <t xml:space="preserve">Множитель потока D10</t>
  </si>
  <si>
    <t xml:space="preserve">Заказов в месяц</t>
  </si>
  <si>
    <t xml:space="preserve">Маржа проекта на заказ</t>
  </si>
  <si>
    <t xml:space="preserve">Маржа проекта в месяц</t>
  </si>
  <si>
    <t xml:space="preserve">Полные операционные расходы в месяц</t>
  </si>
  <si>
    <t xml:space="preserve">Результат в месяц</t>
  </si>
  <si>
    <t xml:space="preserve">Разница с базовым сочетанием (A, б+)</t>
  </si>
  <si>
    <t xml:space="preserve">БУ: заказов в месяц</t>
  </si>
  <si>
    <t xml:space="preserve">БУ: расчётов уровня 1 в месяц</t>
  </si>
  <si>
    <t xml:space="preserve">Сценарий: База</t>
  </si>
  <si>
    <t xml:space="preserve">Сценарий: Оптимист</t>
  </si>
  <si>
    <t xml:space="preserve">Цена решений (маржа проекта, сум в месяц)</t>
  </si>
  <si>
    <t xml:space="preserve">Как читать</t>
  </si>
  <si>
    <t xml:space="preserve">Цена нейтрального текста при I1=A (б+ минус а)</t>
  </si>
  <si>
    <t xml:space="preserve">Сколько маржи в месяц теряется от отказа от блока KMT. Выгода нейтральности не измерена</t>
  </si>
  <si>
    <t xml:space="preserve">Цена гибрида I1=C при D10=б+ (A минус C)</t>
  </si>
  <si>
    <t xml:space="preserve">Сколько маржи уходит партнёрам. Гибрид выгоден, только если партнёры приведут дополнительный поток</t>
  </si>
  <si>
    <t xml:space="preserve">Не смоделировано: форма заказа (D10-в, после A4–A8), список оценщиков (D10-г), публичный пул с комиссией (I1-B), белая марка (I1-D).</t>
  </si>
  <si>
    <t xml:space="preserve">Заглушки q_c и m_a: заменить данными (клики по блоку KMT на первых 100 результатах; доля заказов по ссылкам партнёров).</t>
  </si>
  <si>
    <t xml:space="preserve">Выгода нейтральности (доверие Общества и партнёров) в деньгах не оценена: данных нет.</t>
  </si>
  <si>
    <t xml:space="preserve">Чувствительность</t>
  </si>
  <si>
    <t xml:space="preserve">Оси сеток (синий шрифт) — перебор для чувствительности, не оценки. Все ячейки результатов — формулы; расчёт идёт от столбца «База».</t>
  </si>
  <si>
    <t xml:space="preserve">1. Заказов в месяц (База): конверсия расчёт→интерес × интерес→заказ</t>
  </si>
  <si>
    <t xml:space="preserve">строки: расчёт→интерес  |  столбцы: интерес→заказ</t>
  </si>
  <si>
    <t xml:space="preserve">Объём расчётов — заглушка</t>
  </si>
  <si>
    <t xml:space="preserve">2. Результат проекта в месяц (База, с полными расходами), сум</t>
  </si>
  <si>
    <t xml:space="preserve">3. БУ: заказов в месяц</t>
  </si>
  <si>
    <t xml:space="preserve">строки: маржа проекта на заказ, сум  |  столбцы: операционные расходы в месяц, сум</t>
  </si>
  <si>
    <t xml:space="preserve">Столбец 1 млн сум = только хостинг и сервисы</t>
  </si>
  <si>
    <t xml:space="preserve">4. БУ: расчётов уровня 1 в месяц при сквозной конверсии База</t>
  </si>
  <si>
    <t xml:space="preserve">5. Допустимая стоимость привлечения на один расчёт, сум (потолок из «Входные данные»)</t>
  </si>
  <si>
    <t xml:space="preserve">строки: маржа заказа после комиссии, сум  |  столбцы: сквозная конверсия расчёт→заказ</t>
  </si>
  <si>
    <t xml:space="preserve">Сравнить с ценой клика (не проверена, нужно от Темура)</t>
  </si>
  <si>
    <t xml:space="preserve">6. Постоянный труд команды, сум в месяц, при одной ставке для всех (База)</t>
  </si>
  <si>
    <t xml:space="preserve">строки: единицы часов: 1 неделя, 2 месяц, 3 весь этап  |  столбцы: ставка, сум/час</t>
  </si>
  <si>
    <t xml:space="preserve">Единицы часов и ставки не заданы: сетка показывает разброс, а не оценку</t>
  </si>
  <si>
    <t xml:space="preserve">7. Разработка и запуск (труд, разово), сум, при одной ставке для всех (База)</t>
  </si>
  <si>
    <t xml:space="preserve">8. Цена отчёта ±10% и ±20% (База, I1 = только KMT, прямые затраты в сумах без изменений)</t>
  </si>
  <si>
    <t xml:space="preserve">Изменение цены</t>
  </si>
  <si>
    <t xml:space="preserve">Цена, сум</t>
  </si>
  <si>
    <t xml:space="preserve">Маржа на заказ после комиссии</t>
  </si>
  <si>
    <t xml:space="preserve">Множитель заказов</t>
  </si>
  <si>
    <t xml:space="preserve">Допустимо на заказ (потолок)</t>
  </si>
  <si>
    <t xml:space="preserve">Реакция спроса на цену (elas) не задана — пока множитель = 100%; результат — верхняя граница при повышении цены.</t>
  </si>
  <si>
    <t xml:space="preserve">9. I1 = гибрид: маржа проекта на заказ (База) от доли заказов партнёра и платы проекту</t>
  </si>
  <si>
    <t xml:space="preserve">строки: доля заказов партнёра q  |  столбцы: плата проекту, % от чека</t>
  </si>
  <si>
    <t xml:space="preserve">При плате 0 каждый процент уходящих заказов съедает маржу; 10–20% — гипотеза из 05 для агрегатора</t>
  </si>
  <si>
    <t xml:space="preserve">10. D10: заказы и маржа проекта в месяц (База, выбранный I1) от доли заказов, сохраняющихся при нейтральном тексте</t>
  </si>
  <si>
    <t xml:space="preserve">строки: доля сохранившихся заказов  |  столбцы: показатель</t>
  </si>
  <si>
    <t xml:space="preserve">Маржа в месяц, сум</t>
  </si>
  <si>
    <t xml:space="preserve">Потеря к б+, сум</t>
  </si>
  <si>
    <t xml:space="preserve">Проверка модели</t>
  </si>
  <si>
    <t xml:space="preserve">Статусы: OK, ОШИБКА (нужно исправить формулу), НЕТ ДАННЫХ (формулы верны, нужен ввод владельца).</t>
  </si>
  <si>
    <t xml:space="preserve">Общий статус:</t>
  </si>
  <si>
    <t xml:space="preserve">Проверка</t>
  </si>
  <si>
    <t xml:space="preserve">Значение</t>
  </si>
  <si>
    <t xml:space="preserve">C01</t>
  </si>
  <si>
    <t xml:space="preserve">Ошибки формул: Входные данные</t>
  </si>
  <si>
    <t xml:space="preserve">C02</t>
  </si>
  <si>
    <t xml:space="preserve">Ошибки формул: Юнит-экономика</t>
  </si>
  <si>
    <t xml:space="preserve">C03</t>
  </si>
  <si>
    <t xml:space="preserve">Ошибки формул: Воронка</t>
  </si>
  <si>
    <t xml:space="preserve">C04</t>
  </si>
  <si>
    <t xml:space="preserve">Ошибки формул: Сценарии_BEP</t>
  </si>
  <si>
    <t xml:space="preserve">C05</t>
  </si>
  <si>
    <t xml:space="preserve">Ошибки формул: D10_I1</t>
  </si>
  <si>
    <t xml:space="preserve">C06</t>
  </si>
  <si>
    <t xml:space="preserve">Ошибки формул: Чувствительность</t>
  </si>
  <si>
    <t xml:space="preserve">C07</t>
  </si>
  <si>
    <t xml:space="preserve">Тождество юнит-экономики: выручка − прямые затраты − комиссия − маржа = 0 (по 3 сценариям)</t>
  </si>
  <si>
    <t xml:space="preserve">C08</t>
  </si>
  <si>
    <t xml:space="preserve">Маржа при методе 1 равна вводу владельца</t>
  </si>
  <si>
    <t xml:space="preserve">Проверяется, когда выручка &gt; 0</t>
  </si>
  <si>
    <t xml:space="preserve">C09</t>
  </si>
  <si>
    <t xml:space="preserve">Воронка: заказы = расчёты × c1 × c2 × инкрементальность</t>
  </si>
  <si>
    <t xml:space="preserve">C10</t>
  </si>
  <si>
    <t xml:space="preserve">Помесячная модель: итог за 12 мес = −разработка + сумма операций (по 3 сценариям)</t>
  </si>
  <si>
    <t xml:space="preserve">C11</t>
  </si>
  <si>
    <t xml:space="preserve">Помесячная модель выходит на режим: заказы в 12-м месяце = режим Воронки</t>
  </si>
  <si>
    <t xml:space="preserve">Проверка пропускается, если время выхода на режим больше 12 мес</t>
  </si>
  <si>
    <t xml:space="preserve">C12</t>
  </si>
  <si>
    <t xml:space="preserve">D10_I1: выбранное сочетание совпадает с основным расчётом (лист БУ)</t>
  </si>
  <si>
    <t xml:space="preserve">C13</t>
  </si>
  <si>
    <t xml:space="preserve">Доли и конверсии лежат в диапазоне 0–100%</t>
  </si>
  <si>
    <t xml:space="preserve">C14</t>
  </si>
  <si>
    <t xml:space="preserve">Переключатели допустимы (метод 1/2, I1 1/2, D10 1/2, часы 0/1/2/3)</t>
  </si>
  <si>
    <t xml:space="preserve">C15</t>
  </si>
  <si>
    <t xml:space="preserve">Метод 2 выбран, но построчные затраты пусты (маржа вышла бы 100%)</t>
  </si>
  <si>
    <t xml:space="preserve">C16</t>
  </si>
  <si>
    <t xml:space="preserve">Пустых входов «нужно от Темура» (из 21)</t>
  </si>
  <si>
    <t xml:space="preserve">Список вопросов — лист «Вопросы к Темуру»</t>
  </si>
  <si>
    <t xml:space="preserve">C17</t>
  </si>
  <si>
    <t xml:space="preserve">Единицы часов не заданы: труд команды не оценён</t>
  </si>
  <si>
    <t xml:space="preserve">C18</t>
  </si>
  <si>
    <t xml:space="preserve">Единицы часов заданы, а длительность этапа нет: разработка и труд занижены</t>
  </si>
  <si>
    <t xml:space="preserve">C19</t>
  </si>
  <si>
    <t xml:space="preserve">Ставки не заданы: труд команды = 0</t>
  </si>
  <si>
    <t xml:space="preserve">C20</t>
  </si>
  <si>
    <t xml:space="preserve">Затраты на разработку не заданы: окупаемость разработки не считается</t>
  </si>
  <si>
    <t xml:space="preserve">Баланс допущений (по статусам строк во «Входные данные»)</t>
  </si>
  <si>
    <t xml:space="preserve">[гипотеза] (включая [проверить])</t>
  </si>
  <si>
    <t xml:space="preserve">Всего параметров</t>
  </si>
  <si>
    <t xml:space="preserve">Сумма по статусам должна равняться числу параметров</t>
  </si>
  <si>
    <t xml:space="preserve">Драйверы выручки (объём, c1, c2, инкрементальность, маржа): из них [факт]</t>
  </si>
  <si>
    <t xml:space="preserve">из 5: основной вывод модели держится на гипотезах и заглушках</t>
  </si>
  <si>
    <t xml:space="preserve">Граничные случаи (прогон скриптом при создании файла; каждый — отдельная копия книги с пересчётом)</t>
  </si>
  <si>
    <t xml:space="preserve">Случай</t>
  </si>
  <si>
    <t xml:space="preserve">Ошибок формул</t>
  </si>
  <si>
    <t xml:space="preserve">Результат</t>
  </si>
  <si>
    <t xml:space="preserve">Что показали</t>
  </si>
  <si>
    <t xml:space="preserve">T01</t>
  </si>
  <si>
    <t xml:space="preserve">Исходное состояние: все «нужно от Темура» пусты</t>
  </si>
  <si>
    <t xml:space="preserve">OK</t>
  </si>
  <si>
    <t xml:space="preserve">Считается без ошибок; 4 проверки честно показывают «НЕТ ДАННЫХ». База: БУ 2,0 заказа в месяц, покрывает только хостинг.</t>
  </si>
  <si>
    <t xml:space="preserve">T02</t>
  </si>
  <si>
    <t xml:space="preserve">Маржа заказа = 0% во всех сценариях</t>
  </si>
  <si>
    <t xml:space="preserve">БУ показывает «нет БУ», допустимое привлечение 0, деления на ноль нет.</t>
  </si>
  <si>
    <t xml:space="preserve">T03</t>
  </si>
  <si>
    <t xml:space="preserve">Конверсия расчёт → интерес = 0</t>
  </si>
  <si>
    <t xml:space="preserve">БУ в расчётах — «нет БУ»; результат −1 млн сум в месяц (расходы без дохода).</t>
  </si>
  <si>
    <t xml:space="preserve">T04</t>
  </si>
  <si>
    <t xml:space="preserve">Расчётов уровня 1 в месяц = 0</t>
  </si>
  <si>
    <t xml:space="preserve">Результат −1 млн сум в месяц; БУ считается без ошибок.</t>
  </si>
  <si>
    <t xml:space="preserve">T05</t>
  </si>
  <si>
    <t xml:space="preserve">Потолок привлечения = 0</t>
  </si>
  <si>
    <t xml:space="preserve">Допустимо на заказ 0; отношение комиссии к потолку — «н/д».</t>
  </si>
  <si>
    <t xml:space="preserve">T06</t>
  </si>
  <si>
    <t xml:space="preserve">Цена отчёта = 0</t>
  </si>
  <si>
    <t xml:space="preserve">Маржа 0, БУ «нет БУ», ошибок нет.</t>
  </si>
  <si>
    <t xml:space="preserve">T07</t>
  </si>
  <si>
    <t xml:space="preserve">Метод маржи 2 при пустых построчных затратах</t>
  </si>
  <si>
    <t xml:space="preserve">Ловушка отловлена</t>
  </si>
  <si>
    <t xml:space="preserve">Маржа вышла бы 100% (1 млн сум на заказ); проверка C15 даёт ОШИБКА, общий статус «ЕСТЬ ОШИБКИ». Это ожидаемо: метод 2 включают только с данными.</t>
  </si>
  <si>
    <t xml:space="preserve">T08</t>
  </si>
  <si>
    <t xml:space="preserve">НДС включён, ставка 12% (тестовое значение, не факт)</t>
  </si>
  <si>
    <t xml:space="preserve">Тестовые значения (ставка НДС — не факт): маржа на заказ 446 тыс. вместо 500 тыс., БУ 2,24 заказа.</t>
  </si>
  <si>
    <t xml:space="preserve">T09</t>
  </si>
  <si>
    <t xml:space="preserve">Часы в неделю, этап 3 мес, ставки по 100 000, разовые 5 млн (тестовые значения)</t>
  </si>
  <si>
    <t xml:space="preserve">Тестовые значения: труд 7,6 млн сум в месяц, разработка 92,75 млн; БУ полная 17,2 заказа в месяц, окупаемости нет. Ставки взяты для проверки, не как оценка.</t>
  </si>
  <si>
    <t xml:space="preserve">T10</t>
  </si>
  <si>
    <t xml:space="preserve">Часы на весь этап при длительности этапа 0</t>
  </si>
  <si>
    <t xml:space="preserve">Защита от деления на ноль: постоянный труд = 0, разработка считается.</t>
  </si>
  <si>
    <t xml:space="preserve">T11</t>
  </si>
  <si>
    <t xml:space="preserve">I1 = гибрид и D10 = нейтральный текст</t>
  </si>
  <si>
    <t xml:space="preserve">Результат −790 тыс. сум в месяц, совпадает с листом D10_I1 (проверка C12).</t>
  </si>
  <si>
    <t xml:space="preserve">T12</t>
  </si>
  <si>
    <t xml:space="preserve">Выход на режим: 0 мес</t>
  </si>
  <si>
    <t xml:space="preserve">Коэффициент выхода на режим = 1, без деления на ноль.</t>
  </si>
  <si>
    <t xml:space="preserve">T13</t>
  </si>
  <si>
    <t xml:space="preserve">Выход на режим: 24 мес (дольше горизонта)</t>
  </si>
  <si>
    <t xml:space="preserve">Модель считает; проверка C11 пропускается (выход на режим дольше горизонта).</t>
  </si>
  <si>
    <t xml:space="preserve">T14</t>
  </si>
  <si>
    <t xml:space="preserve">Все заказы через рекомендателя с комиссией 60% (маржа после комиссии &lt; 0)</t>
  </si>
  <si>
    <t xml:space="preserve">Маржа после комиссии отрицательна: БУ «нет БУ», допустимое привлечение 0.</t>
  </si>
  <si>
    <t xml:space="preserve">T15</t>
  </si>
  <si>
    <t xml:space="preserve">Реакция спроса на цену −0,5 при +10% цены</t>
  </si>
  <si>
    <t xml:space="preserve">Чувствительность цены пересчитывается; базовая строка не меняется.</t>
  </si>
  <si>
    <t xml:space="preserve">T16</t>
  </si>
  <si>
    <t xml:space="preserve">Нарушение границ: конверсия расчёт → интерес = 150%</t>
  </si>
  <si>
    <t xml:space="preserve">Конверсия 150%: проверка C13 даёт ОШИБКА (выход за границы 0–100%).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</si>
</sst>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"/>
    <numFmt numFmtId="167" formatCode="0.0%"/>
    <numFmt numFmtId="168" formatCode="0.0"/>
    <numFmt numFmtId="169" formatCode="0.00"/>
    <numFmt numFmtId="170" formatCode="0.000"/>
    <numFmt numFmtId="171" formatCode="0.00%"/>
    <numFmt numFmtId="172" formatCode="\+0%;\-0%;0%"/>
    <numFmt numFmtId="173" formatCode="0.######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C6E0B4"/>
        <bgColor rgb="FFD9D9D9"/>
      </patternFill>
    </fill>
    <fill>
      <patternFill patternType="solid">
        <fgColor rgb="FFFFF2CC"/>
        <bgColor rgb="FFFFFFE0"/>
      </patternFill>
    </fill>
    <fill>
      <patternFill patternType="solid">
        <fgColor rgb="FFFFD7A8"/>
        <bgColor rgb="FFFFF2CC"/>
      </patternFill>
    </fill>
    <fill>
      <patternFill patternType="solid">
        <fgColor rgb="FFF4A6A6"/>
        <bgColor rgb="FFFF8080"/>
      </patternFill>
    </fill>
    <fill>
      <patternFill patternType="solid">
        <fgColor rgb="FFDDEBF7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D9E1F2"/>
        <bgColor rgb="FFDDEBF7"/>
      </patternFill>
    </fill>
    <fill>
      <patternFill patternType="solid">
        <fgColor rgb="FFFFFF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0B4"/>
        </patternFill>
      </fill>
    </dxf>
    <dxf>
      <fill>
        <patternFill>
          <bgColor rgb="FFF4A6A6"/>
        </patternFill>
      </fill>
    </dxf>
    <dxf>
      <fill>
        <patternFill>
          <bgColor rgb="FFFFD7A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BE4B48"/>
      <rgbColor rgb="FFFFFFE0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F2CC"/>
      <rgbColor rgb="FFD9E1F2"/>
      <rgbColor rgb="FFF4A6A6"/>
      <rgbColor rgb="FFCC99FF"/>
      <rgbColor rgb="FFFFD7A8"/>
      <rgbColor rgb="FF4A7EBB"/>
      <rgbColor rgb="FF33CCCC"/>
      <rgbColor rgb="FF98B855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Накопленный итог с разработкой,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"Пессимист"</c:f>
              <c:strCache>
                <c:ptCount val="1"/>
                <c:pt idx="0">
                  <c:v>Пессимист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Сценарии_BEP!$C$51:$O$51</c:f>
              <c:multiLvlStrCache>
                <c:ptCount val="1"/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Сценарии_BEP!$C$61:$O$61</c:f>
              <c:numCache>
                <c:formatCode>#,##0</c:formatCode>
                <c:ptCount val="13"/>
                <c:pt idx="0">
                  <c:v>-0</c:v>
                </c:pt>
                <c:pt idx="1">
                  <c:v>-955000</c:v>
                </c:pt>
                <c:pt idx="2">
                  <c:v>-1865000</c:v>
                </c:pt>
                <c:pt idx="3">
                  <c:v>-2775000</c:v>
                </c:pt>
                <c:pt idx="4">
                  <c:v>-3685000</c:v>
                </c:pt>
                <c:pt idx="5">
                  <c:v>-4595000</c:v>
                </c:pt>
                <c:pt idx="6">
                  <c:v>-5505000</c:v>
                </c:pt>
                <c:pt idx="7">
                  <c:v>-6415000</c:v>
                </c:pt>
                <c:pt idx="8">
                  <c:v>-7325000</c:v>
                </c:pt>
                <c:pt idx="9">
                  <c:v>-8235000</c:v>
                </c:pt>
                <c:pt idx="10">
                  <c:v>-9145000</c:v>
                </c:pt>
                <c:pt idx="11">
                  <c:v>-10055000</c:v>
                </c:pt>
                <c:pt idx="12">
                  <c:v>-10965000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"База"</c:f>
              <c:strCache>
                <c:ptCount val="1"/>
                <c:pt idx="0">
                  <c:v>База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Сценарии_BEP!$C$51:$O$51</c:f>
              <c:multiLvlStrCache>
                <c:ptCount val="1"/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Сценарии_BEP!$C$78:$O$78</c:f>
              <c:numCache>
                <c:formatCode>#,##0</c:formatCode>
                <c:ptCount val="13"/>
                <c:pt idx="0">
                  <c:v>-0</c:v>
                </c:pt>
                <c:pt idx="1">
                  <c:v>-475000</c:v>
                </c:pt>
                <c:pt idx="2">
                  <c:v>-425000</c:v>
                </c:pt>
                <c:pt idx="3">
                  <c:v>-375000</c:v>
                </c:pt>
                <c:pt idx="4">
                  <c:v>-325000</c:v>
                </c:pt>
                <c:pt idx="5">
                  <c:v>-275000</c:v>
                </c:pt>
                <c:pt idx="6">
                  <c:v>-225000</c:v>
                </c:pt>
                <c:pt idx="7">
                  <c:v>-175000</c:v>
                </c:pt>
                <c:pt idx="8">
                  <c:v>-125000</c:v>
                </c:pt>
                <c:pt idx="9">
                  <c:v>-75000</c:v>
                </c:pt>
                <c:pt idx="10">
                  <c:v>-25000</c:v>
                </c:pt>
                <c:pt idx="11">
                  <c:v>25000</c:v>
                </c:pt>
                <c:pt idx="12">
                  <c:v>75000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"Оптимист"</c:f>
              <c:strCache>
                <c:ptCount val="1"/>
                <c:pt idx="0">
                  <c:v>Оптимист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Сценарии_BEP!$C$51:$O$51</c:f>
              <c:multiLvlStrCache>
                <c:ptCount val="1"/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Сценарии_BEP!$C$95:$O$95</c:f>
              <c:numCache>
                <c:formatCode>#,##0</c:formatCode>
                <c:ptCount val="13"/>
                <c:pt idx="0">
                  <c:v>-0</c:v>
                </c:pt>
                <c:pt idx="1">
                  <c:v>1812500</c:v>
                </c:pt>
                <c:pt idx="2">
                  <c:v>6437500</c:v>
                </c:pt>
                <c:pt idx="3">
                  <c:v>11062500</c:v>
                </c:pt>
                <c:pt idx="4">
                  <c:v>15687500</c:v>
                </c:pt>
                <c:pt idx="5">
                  <c:v>20312500</c:v>
                </c:pt>
                <c:pt idx="6">
                  <c:v>24937500</c:v>
                </c:pt>
                <c:pt idx="7">
                  <c:v>29562500</c:v>
                </c:pt>
                <c:pt idx="8">
                  <c:v>34187500</c:v>
                </c:pt>
                <c:pt idx="9">
                  <c:v>38812500</c:v>
                </c:pt>
                <c:pt idx="10">
                  <c:v>43437500</c:v>
                </c:pt>
                <c:pt idx="11">
                  <c:v>48062500</c:v>
                </c:pt>
                <c:pt idx="12">
                  <c:v>52687500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899168"/>
        <c:axId val="60701947"/>
      </c:lineChart>
      <c:catAx>
        <c:axId val="5189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01947"/>
        <c:crosses val="autoZero"/>
        <c:auto val="1"/>
        <c:lblAlgn val="ctr"/>
        <c:lblOffset val="100"/>
        <c:noMultiLvlLbl val="0"/>
      </c:catAx>
      <c:valAx>
        <c:axId val="60701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99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13</xdr:col>
      <xdr:colOff>559080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1289880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7" min="5" style="0" width="13"/>
    <col collapsed="false" customWidth="true" hidden="false" outlineLevel="0" max="8" min="8" style="0" width="42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6" t="s">
        <v>5</v>
      </c>
    </row>
    <row r="8" customFormat="false" ht="15" hidden="false" customHeight="false" outlineLevel="0" collapsed="false">
      <c r="B8" s="7" t="s">
        <v>6</v>
      </c>
    </row>
    <row r="9" customFormat="false" ht="15" hidden="false" customHeight="false" outlineLevel="0" collapsed="false">
      <c r="B9" s="8" t="s">
        <v>7</v>
      </c>
    </row>
    <row r="10" customFormat="false" ht="15" hidden="false" customHeight="false" outlineLevel="0" collapsed="false">
      <c r="B10" s="3" t="s">
        <v>8</v>
      </c>
      <c r="C10" s="3" t="str">
        <f aca="false">Проверка!C3</f>
        <v>ФОРМУЛЫ ОК, НЕ ХВАТАЕТ ДАННЫХ ВЛАДЕЛЬЦА</v>
      </c>
    </row>
    <row r="12" customFormat="false" ht="15" hidden="false" customHeight="false" outlineLevel="0" collapsed="false">
      <c r="A12" s="9" t="s">
        <v>9</v>
      </c>
      <c r="B12" s="9" t="s">
        <v>10</v>
      </c>
      <c r="C12" s="9" t="s">
        <v>11</v>
      </c>
      <c r="D12" s="9" t="s">
        <v>12</v>
      </c>
      <c r="E12" s="9" t="s">
        <v>13</v>
      </c>
      <c r="F12" s="9" t="s">
        <v>14</v>
      </c>
      <c r="G12" s="9" t="s">
        <v>15</v>
      </c>
      <c r="H12" s="9" t="s">
        <v>16</v>
      </c>
      <c r="I12" s="9" t="s">
        <v>17</v>
      </c>
    </row>
    <row r="13" customFormat="false" ht="15" hidden="false" customHeight="false" outlineLevel="0" collapsed="false">
      <c r="A13" s="10" t="s">
        <v>18</v>
      </c>
      <c r="B13" s="11"/>
      <c r="C13" s="11"/>
      <c r="D13" s="11"/>
      <c r="E13" s="11"/>
      <c r="F13" s="11"/>
      <c r="G13" s="11"/>
      <c r="H13" s="11"/>
      <c r="I13" s="11"/>
    </row>
    <row r="14" customFormat="false" ht="23.85" hidden="false" customHeight="false" outlineLevel="0" collapsed="false">
      <c r="A14" s="12" t="s">
        <v>19</v>
      </c>
      <c r="B14" s="12" t="s">
        <v>20</v>
      </c>
      <c r="C14" s="12" t="s">
        <v>21</v>
      </c>
      <c r="D14" s="13" t="s">
        <v>22</v>
      </c>
      <c r="E14" s="14" t="n">
        <f aca="false">IF(F14="","",F14)</f>
        <v>1000000</v>
      </c>
      <c r="F14" s="15" t="n">
        <v>1000000</v>
      </c>
      <c r="G14" s="14" t="n">
        <f aca="false">IF(F14="","",F14)</f>
        <v>1000000</v>
      </c>
      <c r="H14" s="12" t="s">
        <v>23</v>
      </c>
      <c r="I14" s="12" t="s">
        <v>24</v>
      </c>
    </row>
    <row r="15" customFormat="false" ht="15" hidden="false" customHeight="false" outlineLevel="0" collapsed="false">
      <c r="A15" s="12" t="s">
        <v>25</v>
      </c>
      <c r="B15" s="12" t="s">
        <v>26</v>
      </c>
      <c r="C15" s="12" t="s">
        <v>27</v>
      </c>
      <c r="D15" s="13" t="s">
        <v>22</v>
      </c>
      <c r="E15" s="16" t="n">
        <f aca="false">IF(F15="","",F15)</f>
        <v>2</v>
      </c>
      <c r="F15" s="17" t="n">
        <v>2</v>
      </c>
      <c r="G15" s="16" t="n">
        <f aca="false">IF(F15="","",F15)</f>
        <v>2</v>
      </c>
      <c r="H15" s="12" t="s">
        <v>28</v>
      </c>
      <c r="I15" s="12" t="s">
        <v>29</v>
      </c>
    </row>
    <row r="16" customFormat="false" ht="15" hidden="false" customHeight="false" outlineLevel="0" collapsed="false">
      <c r="A16" s="12" t="s">
        <v>30</v>
      </c>
      <c r="B16" s="12" t="s">
        <v>31</v>
      </c>
      <c r="C16" s="12" t="s">
        <v>32</v>
      </c>
      <c r="D16" s="18" t="s">
        <v>33</v>
      </c>
      <c r="E16" s="16" t="str">
        <f aca="false">IF(F16="","",F16)</f>
        <v/>
      </c>
      <c r="F16" s="19"/>
      <c r="G16" s="16" t="str">
        <f aca="false">IF(F16="","",F16)</f>
        <v/>
      </c>
      <c r="H16" s="12" t="s">
        <v>34</v>
      </c>
      <c r="I16" s="12" t="s">
        <v>35</v>
      </c>
    </row>
    <row r="17" customFormat="false" ht="23.85" hidden="false" customHeight="false" outlineLevel="0" collapsed="false">
      <c r="A17" s="12" t="s">
        <v>36</v>
      </c>
      <c r="B17" s="12" t="s">
        <v>37</v>
      </c>
      <c r="C17" s="12" t="s">
        <v>38</v>
      </c>
      <c r="D17" s="18" t="s">
        <v>33</v>
      </c>
      <c r="E17" s="20" t="str">
        <f aca="false">IF(F17="","",F17)</f>
        <v/>
      </c>
      <c r="F17" s="21"/>
      <c r="G17" s="20" t="str">
        <f aca="false">IF(F17="","",F17)</f>
        <v/>
      </c>
      <c r="H17" s="12" t="s">
        <v>39</v>
      </c>
      <c r="I17" s="12" t="s">
        <v>40</v>
      </c>
    </row>
    <row r="18" customFormat="false" ht="23.85" hidden="false" customHeight="false" outlineLevel="0" collapsed="false">
      <c r="A18" s="12" t="s">
        <v>41</v>
      </c>
      <c r="B18" s="12" t="s">
        <v>42</v>
      </c>
      <c r="C18" s="12" t="s">
        <v>43</v>
      </c>
      <c r="D18" s="22" t="s">
        <v>44</v>
      </c>
      <c r="E18" s="14" t="n">
        <f aca="false">IF(F18="","",F18)</f>
        <v>12000</v>
      </c>
      <c r="F18" s="23" t="n">
        <v>12000</v>
      </c>
      <c r="G18" s="14" t="n">
        <f aca="false">IF(F18="","",F18)</f>
        <v>12000</v>
      </c>
      <c r="H18" s="12" t="s">
        <v>45</v>
      </c>
      <c r="I18" s="12" t="s">
        <v>46</v>
      </c>
    </row>
    <row r="19" customFormat="false" ht="15" hidden="false" customHeight="false" outlineLevel="0" collapsed="false">
      <c r="A19" s="10" t="s">
        <v>47</v>
      </c>
      <c r="B19" s="11"/>
      <c r="C19" s="11"/>
      <c r="D19" s="11"/>
      <c r="E19" s="11"/>
      <c r="F19" s="11"/>
      <c r="G19" s="11"/>
      <c r="H19" s="11"/>
      <c r="I19" s="11"/>
    </row>
    <row r="20" customFormat="false" ht="23.85" hidden="false" customHeight="false" outlineLevel="0" collapsed="false">
      <c r="A20" s="12" t="s">
        <v>48</v>
      </c>
      <c r="B20" s="12" t="s">
        <v>49</v>
      </c>
      <c r="C20" s="12" t="s">
        <v>50</v>
      </c>
      <c r="D20" s="24" t="s">
        <v>51</v>
      </c>
      <c r="E20" s="16" t="n">
        <f aca="false">IF(F20="","",F20)</f>
        <v>1</v>
      </c>
      <c r="F20" s="25" t="n">
        <v>1</v>
      </c>
      <c r="G20" s="16" t="n">
        <f aca="false">IF(F20="","",F20)</f>
        <v>1</v>
      </c>
      <c r="H20" s="12" t="s">
        <v>52</v>
      </c>
      <c r="I20" s="12" t="s">
        <v>53</v>
      </c>
    </row>
    <row r="21" customFormat="false" ht="35.05" hidden="false" customHeight="false" outlineLevel="0" collapsed="false">
      <c r="A21" s="12" t="s">
        <v>54</v>
      </c>
      <c r="B21" s="12" t="s">
        <v>55</v>
      </c>
      <c r="C21" s="12" t="s">
        <v>38</v>
      </c>
      <c r="D21" s="22" t="s">
        <v>44</v>
      </c>
      <c r="E21" s="26" t="n">
        <v>0.3</v>
      </c>
      <c r="F21" s="27" t="n">
        <v>0.5</v>
      </c>
      <c r="G21" s="26" t="n">
        <v>0.5</v>
      </c>
      <c r="H21" s="12" t="s">
        <v>56</v>
      </c>
      <c r="I21" s="12" t="s">
        <v>57</v>
      </c>
    </row>
    <row r="22" customFormat="false" ht="15" hidden="false" customHeight="false" outlineLevel="0" collapsed="false">
      <c r="A22" s="12" t="s">
        <v>58</v>
      </c>
      <c r="B22" s="12" t="s">
        <v>59</v>
      </c>
      <c r="C22" s="12" t="s">
        <v>60</v>
      </c>
      <c r="D22" s="18" t="s">
        <v>33</v>
      </c>
      <c r="E22" s="14" t="str">
        <f aca="false">IF(F22="","",F22)</f>
        <v/>
      </c>
      <c r="F22" s="28"/>
      <c r="G22" s="14" t="str">
        <f aca="false">IF(F22="","",F22)</f>
        <v/>
      </c>
      <c r="H22" s="12" t="s">
        <v>39</v>
      </c>
      <c r="I22" s="12" t="s">
        <v>61</v>
      </c>
    </row>
    <row r="23" customFormat="false" ht="15" hidden="false" customHeight="false" outlineLevel="0" collapsed="false">
      <c r="A23" s="12" t="s">
        <v>62</v>
      </c>
      <c r="B23" s="12" t="s">
        <v>63</v>
      </c>
      <c r="C23" s="12" t="s">
        <v>60</v>
      </c>
      <c r="D23" s="18" t="s">
        <v>33</v>
      </c>
      <c r="E23" s="14" t="str">
        <f aca="false">IF(F23="","",F23)</f>
        <v/>
      </c>
      <c r="F23" s="28"/>
      <c r="G23" s="14" t="str">
        <f aca="false">IF(F23="","",F23)</f>
        <v/>
      </c>
      <c r="H23" s="12" t="s">
        <v>39</v>
      </c>
      <c r="I23" s="12" t="s">
        <v>64</v>
      </c>
    </row>
    <row r="24" customFormat="false" ht="15" hidden="false" customHeight="false" outlineLevel="0" collapsed="false">
      <c r="A24" s="12" t="s">
        <v>65</v>
      </c>
      <c r="B24" s="12" t="s">
        <v>66</v>
      </c>
      <c r="C24" s="12" t="s">
        <v>60</v>
      </c>
      <c r="D24" s="18" t="s">
        <v>33</v>
      </c>
      <c r="E24" s="14" t="str">
        <f aca="false">IF(F24="","",F24)</f>
        <v/>
      </c>
      <c r="F24" s="28"/>
      <c r="G24" s="14" t="str">
        <f aca="false">IF(F24="","",F24)</f>
        <v/>
      </c>
      <c r="H24" s="12" t="s">
        <v>39</v>
      </c>
      <c r="I24" s="12" t="s">
        <v>61</v>
      </c>
    </row>
    <row r="25" customFormat="false" ht="15" hidden="false" customHeight="false" outlineLevel="0" collapsed="false">
      <c r="A25" s="12" t="s">
        <v>67</v>
      </c>
      <c r="B25" s="12" t="s">
        <v>68</v>
      </c>
      <c r="C25" s="12" t="s">
        <v>60</v>
      </c>
      <c r="D25" s="18" t="s">
        <v>33</v>
      </c>
      <c r="E25" s="14" t="str">
        <f aca="false">IF(F25="","",F25)</f>
        <v/>
      </c>
      <c r="F25" s="28"/>
      <c r="G25" s="14" t="str">
        <f aca="false">IF(F25="","",F25)</f>
        <v/>
      </c>
      <c r="H25" s="12" t="s">
        <v>39</v>
      </c>
      <c r="I25" s="12" t="s">
        <v>69</v>
      </c>
    </row>
    <row r="26" customFormat="false" ht="15" hidden="false" customHeight="false" outlineLevel="0" collapsed="false">
      <c r="A26" s="12" t="s">
        <v>70</v>
      </c>
      <c r="B26" s="12" t="s">
        <v>71</v>
      </c>
      <c r="C26" s="12" t="s">
        <v>60</v>
      </c>
      <c r="D26" s="18" t="s">
        <v>33</v>
      </c>
      <c r="E26" s="14" t="str">
        <f aca="false">IF(F26="","",F26)</f>
        <v/>
      </c>
      <c r="F26" s="28"/>
      <c r="G26" s="14" t="str">
        <f aca="false">IF(F26="","",F26)</f>
        <v/>
      </c>
      <c r="H26" s="12" t="s">
        <v>39</v>
      </c>
      <c r="I26" s="12" t="s">
        <v>72</v>
      </c>
    </row>
    <row r="27" customFormat="false" ht="15" hidden="false" customHeight="false" outlineLevel="0" collapsed="false">
      <c r="A27" s="12" t="s">
        <v>73</v>
      </c>
      <c r="B27" s="12" t="s">
        <v>74</v>
      </c>
      <c r="C27" s="12" t="s">
        <v>60</v>
      </c>
      <c r="D27" s="18" t="s">
        <v>33</v>
      </c>
      <c r="E27" s="14" t="str">
        <f aca="false">IF(F27="","",F27)</f>
        <v/>
      </c>
      <c r="F27" s="28"/>
      <c r="G27" s="14" t="str">
        <f aca="false">IF(F27="","",F27)</f>
        <v/>
      </c>
      <c r="H27" s="12" t="s">
        <v>39</v>
      </c>
      <c r="I27" s="12" t="s">
        <v>75</v>
      </c>
    </row>
    <row r="28" customFormat="false" ht="15" hidden="false" customHeight="false" outlineLevel="0" collapsed="false">
      <c r="A28" s="12" t="s">
        <v>76</v>
      </c>
      <c r="B28" s="12" t="s">
        <v>77</v>
      </c>
      <c r="C28" s="12" t="s">
        <v>60</v>
      </c>
      <c r="D28" s="18" t="s">
        <v>33</v>
      </c>
      <c r="E28" s="14" t="str">
        <f aca="false">IF(F28="","",F28)</f>
        <v/>
      </c>
      <c r="F28" s="28"/>
      <c r="G28" s="14" t="str">
        <f aca="false">IF(F28="","",F28)</f>
        <v/>
      </c>
      <c r="H28" s="12" t="s">
        <v>78</v>
      </c>
      <c r="I28" s="12" t="s">
        <v>75</v>
      </c>
    </row>
    <row r="29" customFormat="false" ht="15" hidden="false" customHeight="false" outlineLevel="0" collapsed="false">
      <c r="A29" s="10" t="s">
        <v>79</v>
      </c>
      <c r="B29" s="11"/>
      <c r="C29" s="11"/>
      <c r="D29" s="11"/>
      <c r="E29" s="11"/>
      <c r="F29" s="11"/>
      <c r="G29" s="11"/>
      <c r="H29" s="11"/>
      <c r="I29" s="11"/>
    </row>
    <row r="30" customFormat="false" ht="23.85" hidden="false" customHeight="false" outlineLevel="0" collapsed="false">
      <c r="A30" s="12" t="s">
        <v>80</v>
      </c>
      <c r="B30" s="12" t="s">
        <v>81</v>
      </c>
      <c r="C30" s="12" t="s">
        <v>50</v>
      </c>
      <c r="D30" s="13" t="s">
        <v>22</v>
      </c>
      <c r="E30" s="16" t="n">
        <f aca="false">IF(F30="","",F30)</f>
        <v>1</v>
      </c>
      <c r="F30" s="17" t="n">
        <v>1</v>
      </c>
      <c r="G30" s="16" t="n">
        <f aca="false">IF(F30="","",F30)</f>
        <v>1</v>
      </c>
      <c r="H30" s="12" t="s">
        <v>82</v>
      </c>
      <c r="I30" s="12" t="s">
        <v>83</v>
      </c>
    </row>
    <row r="31" customFormat="false" ht="23.85" hidden="false" customHeight="false" outlineLevel="0" collapsed="false">
      <c r="A31" s="12" t="s">
        <v>84</v>
      </c>
      <c r="B31" s="12" t="s">
        <v>85</v>
      </c>
      <c r="C31" s="12" t="s">
        <v>50</v>
      </c>
      <c r="D31" s="13" t="s">
        <v>22</v>
      </c>
      <c r="E31" s="16" t="n">
        <f aca="false">IF(F31="","",F31)</f>
        <v>1</v>
      </c>
      <c r="F31" s="17" t="n">
        <v>1</v>
      </c>
      <c r="G31" s="16" t="n">
        <f aca="false">IF(F31="","",F31)</f>
        <v>1</v>
      </c>
      <c r="H31" s="12" t="s">
        <v>86</v>
      </c>
      <c r="I31" s="12" t="s">
        <v>87</v>
      </c>
    </row>
    <row r="32" customFormat="false" ht="35.05" hidden="false" customHeight="false" outlineLevel="0" collapsed="false">
      <c r="A32" s="12" t="s">
        <v>88</v>
      </c>
      <c r="B32" s="12" t="s">
        <v>89</v>
      </c>
      <c r="C32" s="12" t="s">
        <v>38</v>
      </c>
      <c r="D32" s="22" t="s">
        <v>44</v>
      </c>
      <c r="E32" s="20" t="n">
        <f aca="false">IF(F32="","",F32)</f>
        <v>1</v>
      </c>
      <c r="F32" s="27" t="n">
        <v>1</v>
      </c>
      <c r="G32" s="20" t="n">
        <f aca="false">IF(F32="","",F32)</f>
        <v>1</v>
      </c>
      <c r="H32" s="12" t="s">
        <v>90</v>
      </c>
      <c r="I32" s="12" t="s">
        <v>91</v>
      </c>
    </row>
    <row r="33" customFormat="false" ht="35.05" hidden="false" customHeight="false" outlineLevel="0" collapsed="false">
      <c r="A33" s="12" t="s">
        <v>92</v>
      </c>
      <c r="B33" s="12" t="s">
        <v>93</v>
      </c>
      <c r="C33" s="12" t="s">
        <v>38</v>
      </c>
      <c r="D33" s="22" t="s">
        <v>94</v>
      </c>
      <c r="E33" s="20" t="n">
        <f aca="false">IF(F33="","",F33)</f>
        <v>0</v>
      </c>
      <c r="F33" s="27" t="n">
        <v>0</v>
      </c>
      <c r="G33" s="20" t="n">
        <f aca="false">IF(F33="","",F33)</f>
        <v>0</v>
      </c>
      <c r="H33" s="12" t="s">
        <v>95</v>
      </c>
      <c r="I33" s="12" t="s">
        <v>96</v>
      </c>
    </row>
    <row r="34" customFormat="false" ht="23.85" hidden="false" customHeight="false" outlineLevel="0" collapsed="false">
      <c r="A34" s="12" t="s">
        <v>97</v>
      </c>
      <c r="B34" s="12" t="s">
        <v>98</v>
      </c>
      <c r="C34" s="12" t="s">
        <v>38</v>
      </c>
      <c r="D34" s="22" t="s">
        <v>94</v>
      </c>
      <c r="E34" s="20" t="n">
        <f aca="false">IF(F34="","",F34)</f>
        <v>0.15</v>
      </c>
      <c r="F34" s="27" t="n">
        <v>0.15</v>
      </c>
      <c r="G34" s="20" t="n">
        <f aca="false">IF(F34="","",F34)</f>
        <v>0.15</v>
      </c>
      <c r="H34" s="12" t="s">
        <v>99</v>
      </c>
      <c r="I34" s="12" t="s">
        <v>100</v>
      </c>
    </row>
    <row r="35" customFormat="false" ht="23.85" hidden="false" customHeight="false" outlineLevel="0" collapsed="false">
      <c r="A35" s="12" t="s">
        <v>101</v>
      </c>
      <c r="B35" s="12" t="s">
        <v>102</v>
      </c>
      <c r="C35" s="12" t="s">
        <v>38</v>
      </c>
      <c r="D35" s="29" t="s">
        <v>103</v>
      </c>
      <c r="E35" s="20" t="n">
        <f aca="false">IF(F35="","",F35)</f>
        <v>0.2</v>
      </c>
      <c r="F35" s="30" t="n">
        <v>0.2</v>
      </c>
      <c r="G35" s="20" t="n">
        <f aca="false">IF(F35="","",F35)</f>
        <v>0.2</v>
      </c>
      <c r="H35" s="12" t="s">
        <v>39</v>
      </c>
      <c r="I35" s="12" t="s">
        <v>104</v>
      </c>
    </row>
    <row r="36" customFormat="false" ht="23.85" hidden="false" customHeight="false" outlineLevel="0" collapsed="false">
      <c r="A36" s="12" t="s">
        <v>105</v>
      </c>
      <c r="B36" s="12" t="s">
        <v>106</v>
      </c>
      <c r="C36" s="12" t="s">
        <v>38</v>
      </c>
      <c r="D36" s="22" t="s">
        <v>94</v>
      </c>
      <c r="E36" s="20" t="n">
        <f aca="false">IF(F36="","",F36)</f>
        <v>0</v>
      </c>
      <c r="F36" s="27" t="n">
        <v>0</v>
      </c>
      <c r="G36" s="20" t="n">
        <f aca="false">IF(F36="","",F36)</f>
        <v>0</v>
      </c>
      <c r="H36" s="12" t="s">
        <v>107</v>
      </c>
      <c r="I36" s="12" t="s">
        <v>108</v>
      </c>
    </row>
    <row r="37" customFormat="false" ht="23.85" hidden="false" customHeight="false" outlineLevel="0" collapsed="false">
      <c r="A37" s="12" t="s">
        <v>109</v>
      </c>
      <c r="B37" s="12" t="s">
        <v>110</v>
      </c>
      <c r="C37" s="12" t="s">
        <v>38</v>
      </c>
      <c r="D37" s="29" t="s">
        <v>103</v>
      </c>
      <c r="E37" s="20" t="n">
        <f aca="false">IF(F37="","",F37)</f>
        <v>0.25</v>
      </c>
      <c r="F37" s="30" t="n">
        <v>0.25</v>
      </c>
      <c r="G37" s="20" t="n">
        <f aca="false">IF(F37="","",F37)</f>
        <v>0.25</v>
      </c>
      <c r="H37" s="12" t="s">
        <v>39</v>
      </c>
      <c r="I37" s="12" t="s">
        <v>111</v>
      </c>
    </row>
    <row r="38" customFormat="false" ht="15" hidden="false" customHeight="false" outlineLevel="0" collapsed="false">
      <c r="A38" s="10" t="s">
        <v>112</v>
      </c>
      <c r="B38" s="11"/>
      <c r="C38" s="11"/>
      <c r="D38" s="11"/>
      <c r="E38" s="11"/>
      <c r="F38" s="11"/>
      <c r="G38" s="11"/>
      <c r="H38" s="11"/>
      <c r="I38" s="11"/>
    </row>
    <row r="39" customFormat="false" ht="23.85" hidden="false" customHeight="false" outlineLevel="0" collapsed="false">
      <c r="A39" s="12" t="s">
        <v>113</v>
      </c>
      <c r="B39" s="12" t="s">
        <v>114</v>
      </c>
      <c r="C39" s="12" t="s">
        <v>38</v>
      </c>
      <c r="D39" s="22" t="s">
        <v>94</v>
      </c>
      <c r="E39" s="20" t="n">
        <f aca="false">IF(F39="","",F39)</f>
        <v>0.2</v>
      </c>
      <c r="F39" s="27" t="n">
        <v>0.2</v>
      </c>
      <c r="G39" s="20" t="n">
        <f aca="false">IF(F39="","",F39)</f>
        <v>0.2</v>
      </c>
      <c r="H39" s="12" t="s">
        <v>115</v>
      </c>
      <c r="I39" s="12" t="s">
        <v>116</v>
      </c>
    </row>
    <row r="40" customFormat="false" ht="15" hidden="false" customHeight="false" outlineLevel="0" collapsed="false">
      <c r="A40" s="12" t="s">
        <v>117</v>
      </c>
      <c r="B40" s="12" t="s">
        <v>118</v>
      </c>
      <c r="C40" s="12" t="s">
        <v>119</v>
      </c>
      <c r="D40" s="13" t="s">
        <v>22</v>
      </c>
      <c r="E40" s="14" t="n">
        <f aca="false">IF(F40="","",F40)</f>
        <v>0</v>
      </c>
      <c r="F40" s="15" t="n">
        <v>0</v>
      </c>
      <c r="G40" s="14" t="n">
        <f aca="false">IF(F40="","",F40)</f>
        <v>0</v>
      </c>
      <c r="H40" s="12" t="s">
        <v>120</v>
      </c>
      <c r="I40" s="12" t="s">
        <v>121</v>
      </c>
    </row>
    <row r="41" customFormat="false" ht="15" hidden="false" customHeight="false" outlineLevel="0" collapsed="false">
      <c r="A41" s="10" t="s">
        <v>122</v>
      </c>
      <c r="B41" s="11"/>
      <c r="C41" s="11"/>
      <c r="D41" s="11"/>
      <c r="E41" s="11"/>
      <c r="F41" s="11"/>
      <c r="G41" s="11"/>
      <c r="H41" s="11"/>
      <c r="I41" s="11"/>
    </row>
    <row r="42" customFormat="false" ht="23.85" hidden="false" customHeight="false" outlineLevel="0" collapsed="false">
      <c r="A42" s="12" t="s">
        <v>123</v>
      </c>
      <c r="B42" s="12" t="s">
        <v>124</v>
      </c>
      <c r="C42" s="12" t="s">
        <v>125</v>
      </c>
      <c r="D42" s="29" t="s">
        <v>103</v>
      </c>
      <c r="E42" s="31" t="n">
        <v>100</v>
      </c>
      <c r="F42" s="32" t="n">
        <v>300</v>
      </c>
      <c r="G42" s="31" t="n">
        <v>900</v>
      </c>
      <c r="H42" s="12" t="s">
        <v>126</v>
      </c>
      <c r="I42" s="12" t="s">
        <v>127</v>
      </c>
    </row>
    <row r="43" customFormat="false" ht="15" hidden="false" customHeight="false" outlineLevel="0" collapsed="false">
      <c r="A43" s="12" t="s">
        <v>128</v>
      </c>
      <c r="B43" s="12" t="s">
        <v>129</v>
      </c>
      <c r="C43" s="12" t="s">
        <v>38</v>
      </c>
      <c r="D43" s="18" t="s">
        <v>33</v>
      </c>
      <c r="E43" s="20" t="str">
        <f aca="false">IF(F43="","",F43)</f>
        <v/>
      </c>
      <c r="F43" s="21"/>
      <c r="G43" s="20" t="str">
        <f aca="false">IF(F43="","",F43)</f>
        <v/>
      </c>
      <c r="H43" s="12" t="s">
        <v>130</v>
      </c>
      <c r="I43" s="12" t="s">
        <v>131</v>
      </c>
    </row>
    <row r="44" customFormat="false" ht="15" hidden="false" customHeight="false" outlineLevel="0" collapsed="false">
      <c r="A44" s="12" t="s">
        <v>132</v>
      </c>
      <c r="B44" s="12" t="s">
        <v>133</v>
      </c>
      <c r="C44" s="12" t="s">
        <v>38</v>
      </c>
      <c r="D44" s="22" t="s">
        <v>94</v>
      </c>
      <c r="E44" s="26" t="n">
        <v>0.15</v>
      </c>
      <c r="F44" s="27" t="n">
        <v>0.2</v>
      </c>
      <c r="G44" s="26" t="n">
        <v>0.25</v>
      </c>
      <c r="H44" s="12" t="s">
        <v>134</v>
      </c>
      <c r="I44" s="12" t="s">
        <v>135</v>
      </c>
    </row>
    <row r="45" customFormat="false" ht="15" hidden="false" customHeight="false" outlineLevel="0" collapsed="false">
      <c r="A45" s="12" t="s">
        <v>136</v>
      </c>
      <c r="B45" s="12" t="s">
        <v>137</v>
      </c>
      <c r="C45" s="12" t="s">
        <v>38</v>
      </c>
      <c r="D45" s="22" t="s">
        <v>94</v>
      </c>
      <c r="E45" s="26" t="n">
        <v>0.02</v>
      </c>
      <c r="F45" s="27" t="n">
        <v>0.035</v>
      </c>
      <c r="G45" s="26" t="n">
        <v>0.05</v>
      </c>
      <c r="H45" s="12" t="s">
        <v>138</v>
      </c>
      <c r="I45" s="12" t="s">
        <v>139</v>
      </c>
    </row>
    <row r="46" customFormat="false" ht="23.85" hidden="false" customHeight="false" outlineLevel="0" collapsed="false">
      <c r="A46" s="12" t="s">
        <v>140</v>
      </c>
      <c r="B46" s="12" t="s">
        <v>141</v>
      </c>
      <c r="C46" s="12" t="s">
        <v>38</v>
      </c>
      <c r="D46" s="22" t="s">
        <v>44</v>
      </c>
      <c r="E46" s="20" t="n">
        <f aca="false">IF(F46="","",F46)</f>
        <v>1</v>
      </c>
      <c r="F46" s="27" t="n">
        <v>1</v>
      </c>
      <c r="G46" s="20" t="n">
        <f aca="false">IF(F46="","",F46)</f>
        <v>1</v>
      </c>
      <c r="H46" s="12" t="s">
        <v>39</v>
      </c>
      <c r="I46" s="12" t="s">
        <v>142</v>
      </c>
    </row>
    <row r="47" customFormat="false" ht="15" hidden="false" customHeight="false" outlineLevel="0" collapsed="false">
      <c r="A47" s="12" t="s">
        <v>143</v>
      </c>
      <c r="B47" s="12" t="s">
        <v>144</v>
      </c>
      <c r="C47" s="12" t="s">
        <v>145</v>
      </c>
      <c r="D47" s="22" t="s">
        <v>94</v>
      </c>
      <c r="E47" s="16" t="n">
        <f aca="false">IF(F47="","",F47)</f>
        <v>2</v>
      </c>
      <c r="F47" s="33" t="n">
        <v>2</v>
      </c>
      <c r="G47" s="16" t="n">
        <f aca="false">IF(F47="","",F47)</f>
        <v>2</v>
      </c>
      <c r="H47" s="12" t="s">
        <v>146</v>
      </c>
      <c r="I47" s="12" t="s">
        <v>147</v>
      </c>
    </row>
    <row r="48" customFormat="false" ht="15" hidden="false" customHeight="false" outlineLevel="0" collapsed="false">
      <c r="A48" s="10" t="s">
        <v>148</v>
      </c>
      <c r="B48" s="11"/>
      <c r="C48" s="11"/>
      <c r="D48" s="11"/>
      <c r="E48" s="11"/>
      <c r="F48" s="11"/>
      <c r="G48" s="11"/>
      <c r="H48" s="11"/>
      <c r="I48" s="11"/>
    </row>
    <row r="49" customFormat="false" ht="15" hidden="false" customHeight="false" outlineLevel="0" collapsed="false">
      <c r="A49" s="12" t="s">
        <v>149</v>
      </c>
      <c r="B49" s="12" t="s">
        <v>150</v>
      </c>
      <c r="C49" s="12" t="s">
        <v>119</v>
      </c>
      <c r="D49" s="13" t="s">
        <v>22</v>
      </c>
      <c r="E49" s="14" t="n">
        <f aca="false">IF(F49="","",F49)</f>
        <v>1000000</v>
      </c>
      <c r="F49" s="15" t="n">
        <v>1000000</v>
      </c>
      <c r="G49" s="14" t="n">
        <f aca="false">IF(F49="","",F49)</f>
        <v>1000000</v>
      </c>
      <c r="H49" s="12" t="s">
        <v>151</v>
      </c>
      <c r="I49" s="12" t="s">
        <v>152</v>
      </c>
    </row>
    <row r="50" customFormat="false" ht="15" hidden="false" customHeight="false" outlineLevel="0" collapsed="false">
      <c r="A50" s="12" t="s">
        <v>153</v>
      </c>
      <c r="B50" s="12" t="s">
        <v>154</v>
      </c>
      <c r="C50" s="12" t="s">
        <v>119</v>
      </c>
      <c r="D50" s="18" t="s">
        <v>33</v>
      </c>
      <c r="E50" s="14" t="str">
        <f aca="false">IF(F50="","",F50)</f>
        <v/>
      </c>
      <c r="F50" s="28"/>
      <c r="G50" s="14" t="str">
        <f aca="false">IF(F50="","",F50)</f>
        <v/>
      </c>
      <c r="H50" s="12" t="s">
        <v>155</v>
      </c>
      <c r="I50" s="12" t="s">
        <v>156</v>
      </c>
    </row>
    <row r="51" customFormat="false" ht="15" hidden="false" customHeight="false" outlineLevel="0" collapsed="false">
      <c r="A51" s="10" t="s">
        <v>157</v>
      </c>
      <c r="B51" s="11"/>
      <c r="C51" s="11"/>
      <c r="D51" s="11"/>
      <c r="E51" s="11"/>
      <c r="F51" s="11"/>
      <c r="G51" s="11"/>
      <c r="H51" s="11"/>
      <c r="I51" s="11"/>
    </row>
    <row r="52" customFormat="false" ht="15" hidden="false" customHeight="false" outlineLevel="0" collapsed="false">
      <c r="A52" s="12" t="s">
        <v>158</v>
      </c>
      <c r="B52" s="12" t="s">
        <v>159</v>
      </c>
      <c r="C52" s="12" t="s">
        <v>160</v>
      </c>
      <c r="D52" s="18" t="s">
        <v>33</v>
      </c>
      <c r="E52" s="16" t="str">
        <f aca="false">IF(F52="","",F52)</f>
        <v/>
      </c>
      <c r="F52" s="19"/>
      <c r="G52" s="16" t="str">
        <f aca="false">IF(F52="","",F52)</f>
        <v/>
      </c>
      <c r="H52" s="12" t="s">
        <v>161</v>
      </c>
      <c r="I52" s="12" t="s">
        <v>162</v>
      </c>
    </row>
    <row r="53" customFormat="false" ht="15" hidden="false" customHeight="false" outlineLevel="0" collapsed="false">
      <c r="A53" s="12" t="s">
        <v>163</v>
      </c>
      <c r="B53" s="12" t="s">
        <v>164</v>
      </c>
      <c r="C53" s="12" t="s">
        <v>145</v>
      </c>
      <c r="D53" s="18" t="s">
        <v>33</v>
      </c>
      <c r="E53" s="34" t="str">
        <f aca="false">IF(F53="","",F53)</f>
        <v/>
      </c>
      <c r="F53" s="35"/>
      <c r="G53" s="34" t="str">
        <f aca="false">IF(F53="","",F53)</f>
        <v/>
      </c>
      <c r="H53" s="12" t="s">
        <v>39</v>
      </c>
      <c r="I53" s="12" t="s">
        <v>165</v>
      </c>
    </row>
    <row r="54" customFormat="false" ht="15" hidden="false" customHeight="false" outlineLevel="0" collapsed="false">
      <c r="A54" s="12" t="s">
        <v>166</v>
      </c>
      <c r="B54" s="12" t="s">
        <v>167</v>
      </c>
      <c r="C54" s="12" t="s">
        <v>168</v>
      </c>
      <c r="D54" s="13" t="s">
        <v>169</v>
      </c>
      <c r="E54" s="36" t="n">
        <v>20</v>
      </c>
      <c r="F54" s="37" t="n">
        <v>17.5</v>
      </c>
      <c r="G54" s="36" t="n">
        <v>15</v>
      </c>
      <c r="H54" s="12" t="s">
        <v>170</v>
      </c>
      <c r="I54" s="12" t="s">
        <v>171</v>
      </c>
    </row>
    <row r="55" customFormat="false" ht="15" hidden="false" customHeight="false" outlineLevel="0" collapsed="false">
      <c r="A55" s="12" t="s">
        <v>172</v>
      </c>
      <c r="B55" s="12" t="s">
        <v>173</v>
      </c>
      <c r="C55" s="12" t="s">
        <v>168</v>
      </c>
      <c r="D55" s="13" t="s">
        <v>169</v>
      </c>
      <c r="E55" s="36" t="n">
        <v>20</v>
      </c>
      <c r="F55" s="37" t="n">
        <v>17.5</v>
      </c>
      <c r="G55" s="36" t="n">
        <v>15</v>
      </c>
      <c r="H55" s="12" t="s">
        <v>170</v>
      </c>
      <c r="I55" s="12" t="s">
        <v>174</v>
      </c>
    </row>
    <row r="56" customFormat="false" ht="15" hidden="false" customHeight="false" outlineLevel="0" collapsed="false">
      <c r="A56" s="12" t="s">
        <v>175</v>
      </c>
      <c r="B56" s="12" t="s">
        <v>176</v>
      </c>
      <c r="C56" s="12" t="s">
        <v>168</v>
      </c>
      <c r="D56" s="13" t="s">
        <v>169</v>
      </c>
      <c r="E56" s="34" t="n">
        <f aca="false">IF(F56="","",F56)</f>
        <v>50</v>
      </c>
      <c r="F56" s="37" t="n">
        <v>50</v>
      </c>
      <c r="G56" s="34" t="n">
        <f aca="false">IF(F56="","",F56)</f>
        <v>50</v>
      </c>
      <c r="H56" s="12" t="s">
        <v>177</v>
      </c>
      <c r="I56" s="12" t="s">
        <v>178</v>
      </c>
    </row>
    <row r="57" customFormat="false" ht="15" hidden="false" customHeight="false" outlineLevel="0" collapsed="false">
      <c r="A57" s="12" t="s">
        <v>179</v>
      </c>
      <c r="B57" s="12" t="s">
        <v>180</v>
      </c>
      <c r="C57" s="12" t="s">
        <v>181</v>
      </c>
      <c r="D57" s="18" t="s">
        <v>33</v>
      </c>
      <c r="E57" s="14" t="str">
        <f aca="false">IF(F57="","",F57)</f>
        <v/>
      </c>
      <c r="F57" s="28"/>
      <c r="G57" s="14" t="str">
        <f aca="false">IF(F57="","",F57)</f>
        <v/>
      </c>
      <c r="H57" s="12" t="s">
        <v>182</v>
      </c>
      <c r="I57" s="12" t="s">
        <v>183</v>
      </c>
    </row>
    <row r="58" customFormat="false" ht="15" hidden="false" customHeight="false" outlineLevel="0" collapsed="false">
      <c r="A58" s="12" t="s">
        <v>184</v>
      </c>
      <c r="B58" s="12" t="s">
        <v>185</v>
      </c>
      <c r="C58" s="12" t="s">
        <v>181</v>
      </c>
      <c r="D58" s="18" t="s">
        <v>33</v>
      </c>
      <c r="E58" s="14" t="str">
        <f aca="false">IF(F58="","",F58)</f>
        <v/>
      </c>
      <c r="F58" s="28"/>
      <c r="G58" s="14" t="str">
        <f aca="false">IF(F58="","",F58)</f>
        <v/>
      </c>
      <c r="H58" s="12" t="s">
        <v>182</v>
      </c>
      <c r="I58" s="12" t="s">
        <v>183</v>
      </c>
    </row>
    <row r="59" customFormat="false" ht="15" hidden="false" customHeight="false" outlineLevel="0" collapsed="false">
      <c r="A59" s="12" t="s">
        <v>186</v>
      </c>
      <c r="B59" s="12" t="s">
        <v>187</v>
      </c>
      <c r="C59" s="12" t="s">
        <v>181</v>
      </c>
      <c r="D59" s="18" t="s">
        <v>33</v>
      </c>
      <c r="E59" s="14" t="str">
        <f aca="false">IF(F59="","",F59)</f>
        <v/>
      </c>
      <c r="F59" s="28"/>
      <c r="G59" s="14" t="str">
        <f aca="false">IF(F59="","",F59)</f>
        <v/>
      </c>
      <c r="H59" s="12" t="s">
        <v>182</v>
      </c>
      <c r="I59" s="12" t="s">
        <v>183</v>
      </c>
    </row>
    <row r="60" customFormat="false" ht="15" hidden="false" customHeight="false" outlineLevel="0" collapsed="false">
      <c r="A60" s="12" t="s">
        <v>188</v>
      </c>
      <c r="B60" s="12" t="s">
        <v>189</v>
      </c>
      <c r="C60" s="12" t="s">
        <v>38</v>
      </c>
      <c r="D60" s="22" t="s">
        <v>94</v>
      </c>
      <c r="E60" s="20" t="n">
        <f aca="false">IF(F60="","",F60)</f>
        <v>0</v>
      </c>
      <c r="F60" s="27" t="n">
        <v>0</v>
      </c>
      <c r="G60" s="20" t="n">
        <f aca="false">IF(F60="","",F60)</f>
        <v>0</v>
      </c>
      <c r="H60" s="12" t="s">
        <v>39</v>
      </c>
      <c r="I60" s="12" t="s">
        <v>190</v>
      </c>
    </row>
    <row r="61" customFormat="false" ht="23.85" hidden="false" customHeight="false" outlineLevel="0" collapsed="false">
      <c r="A61" s="12" t="s">
        <v>191</v>
      </c>
      <c r="B61" s="12" t="s">
        <v>192</v>
      </c>
      <c r="C61" s="12" t="s">
        <v>38</v>
      </c>
      <c r="D61" s="22" t="s">
        <v>94</v>
      </c>
      <c r="E61" s="20" t="n">
        <f aca="false">IF(F61="","",F61)</f>
        <v>1</v>
      </c>
      <c r="F61" s="27" t="n">
        <v>1</v>
      </c>
      <c r="G61" s="20" t="n">
        <f aca="false">IF(F61="","",F61)</f>
        <v>1</v>
      </c>
      <c r="H61" s="12" t="s">
        <v>193</v>
      </c>
      <c r="I61" s="12" t="s">
        <v>194</v>
      </c>
    </row>
    <row r="62" customFormat="false" ht="15" hidden="false" customHeight="false" outlineLevel="0" collapsed="false">
      <c r="A62" s="12" t="s">
        <v>195</v>
      </c>
      <c r="B62" s="12" t="s">
        <v>196</v>
      </c>
      <c r="C62" s="12" t="s">
        <v>38</v>
      </c>
      <c r="D62" s="22" t="s">
        <v>94</v>
      </c>
      <c r="E62" s="20" t="n">
        <f aca="false">IF(F62="","",F62)</f>
        <v>1</v>
      </c>
      <c r="F62" s="27" t="n">
        <v>1</v>
      </c>
      <c r="G62" s="20" t="n">
        <f aca="false">IF(F62="","",F62)</f>
        <v>1</v>
      </c>
      <c r="H62" s="12" t="s">
        <v>197</v>
      </c>
      <c r="I62" s="12" t="s">
        <v>194</v>
      </c>
    </row>
    <row r="63" customFormat="false" ht="15" hidden="false" customHeight="false" outlineLevel="0" collapsed="false">
      <c r="A63" s="10" t="s">
        <v>198</v>
      </c>
      <c r="B63" s="11"/>
      <c r="C63" s="11"/>
      <c r="D63" s="11"/>
      <c r="E63" s="11"/>
      <c r="F63" s="11"/>
      <c r="G63" s="11"/>
      <c r="H63" s="11"/>
      <c r="I63" s="11"/>
    </row>
    <row r="64" customFormat="false" ht="15" hidden="false" customHeight="false" outlineLevel="0" collapsed="false">
      <c r="A64" s="12" t="s">
        <v>199</v>
      </c>
      <c r="B64" s="12" t="s">
        <v>200</v>
      </c>
      <c r="C64" s="12" t="s">
        <v>21</v>
      </c>
      <c r="D64" s="18" t="s">
        <v>33</v>
      </c>
      <c r="E64" s="14" t="str">
        <f aca="false">IF(F64="","",F64)</f>
        <v/>
      </c>
      <c r="F64" s="28"/>
      <c r="G64" s="14" t="str">
        <f aca="false">IF(F64="","",F64)</f>
        <v/>
      </c>
      <c r="H64" s="12" t="s">
        <v>155</v>
      </c>
      <c r="I64" s="12" t="s">
        <v>201</v>
      </c>
    </row>
    <row r="65" customFormat="false" ht="15" hidden="false" customHeight="false" outlineLevel="0" collapsed="false">
      <c r="A65" s="12" t="s">
        <v>202</v>
      </c>
      <c r="B65" s="12" t="s">
        <v>203</v>
      </c>
      <c r="C65" s="12" t="s">
        <v>21</v>
      </c>
      <c r="D65" s="18" t="s">
        <v>33</v>
      </c>
      <c r="E65" s="14" t="str">
        <f aca="false">IF(F65="","",F65)</f>
        <v/>
      </c>
      <c r="F65" s="28"/>
      <c r="G65" s="14" t="str">
        <f aca="false">IF(F65="","",F65)</f>
        <v/>
      </c>
      <c r="H65" s="12" t="s">
        <v>155</v>
      </c>
      <c r="I65" s="12" t="s">
        <v>201</v>
      </c>
    </row>
    <row r="66" customFormat="false" ht="15" hidden="false" customHeight="false" outlineLevel="0" collapsed="false">
      <c r="A66" s="12" t="s">
        <v>204</v>
      </c>
      <c r="B66" s="12" t="s">
        <v>205</v>
      </c>
      <c r="C66" s="12" t="s">
        <v>21</v>
      </c>
      <c r="D66" s="18" t="s">
        <v>33</v>
      </c>
      <c r="E66" s="14" t="str">
        <f aca="false">IF(F66="","",F66)</f>
        <v/>
      </c>
      <c r="F66" s="28"/>
      <c r="G66" s="14" t="str">
        <f aca="false">IF(F66="","",F66)</f>
        <v/>
      </c>
      <c r="H66" s="12" t="s">
        <v>206</v>
      </c>
      <c r="I66" s="12" t="s">
        <v>201</v>
      </c>
    </row>
    <row r="67" customFormat="false" ht="15" hidden="false" customHeight="false" outlineLevel="0" collapsed="false">
      <c r="A67" s="12" t="s">
        <v>207</v>
      </c>
      <c r="B67" s="12" t="s">
        <v>208</v>
      </c>
      <c r="C67" s="12" t="s">
        <v>21</v>
      </c>
      <c r="D67" s="18" t="s">
        <v>33</v>
      </c>
      <c r="E67" s="14" t="str">
        <f aca="false">IF(F67="","",F67)</f>
        <v/>
      </c>
      <c r="F67" s="28"/>
      <c r="G67" s="14" t="str">
        <f aca="false">IF(F67="","",F67)</f>
        <v/>
      </c>
      <c r="H67" s="12" t="s">
        <v>39</v>
      </c>
      <c r="I67" s="12" t="s">
        <v>201</v>
      </c>
    </row>
    <row r="68" customFormat="false" ht="15" hidden="false" customHeight="false" outlineLevel="0" collapsed="false">
      <c r="A68" s="10" t="s">
        <v>209</v>
      </c>
      <c r="B68" s="11"/>
      <c r="C68" s="11"/>
      <c r="D68" s="11"/>
      <c r="E68" s="11"/>
      <c r="F68" s="11"/>
      <c r="G68" s="11"/>
      <c r="H68" s="11"/>
      <c r="I68" s="11"/>
    </row>
    <row r="69" customFormat="false" ht="23.85" hidden="false" customHeight="false" outlineLevel="0" collapsed="false">
      <c r="A69" s="12" t="s">
        <v>210</v>
      </c>
      <c r="B69" s="12" t="s">
        <v>211</v>
      </c>
      <c r="C69" s="12" t="s">
        <v>212</v>
      </c>
      <c r="D69" s="18" t="s">
        <v>33</v>
      </c>
      <c r="E69" s="38" t="str">
        <f aca="false">IF(F69="","",F69)</f>
        <v/>
      </c>
      <c r="F69" s="39"/>
      <c r="G69" s="38" t="str">
        <f aca="false">IF(F69="","",F69)</f>
        <v/>
      </c>
      <c r="H69" s="12" t="s">
        <v>213</v>
      </c>
      <c r="I69" s="12" t="s">
        <v>214</v>
      </c>
    </row>
    <row r="71" customFormat="false" ht="15" hidden="false" customHeight="false" outlineLevel="0" collapsed="false">
      <c r="B71" s="2" t="s">
        <v>215</v>
      </c>
    </row>
  </sheetData>
  <dataValidations count="3">
    <dataValidation allowBlank="false" errorStyle="stop" operator="between" showDropDown="false" showErrorMessage="false" showInputMessage="false" sqref="F20 F30:F31" type="list">
      <formula1>"1,2"</formula1>
      <formula2>0</formula2>
    </dataValidation>
    <dataValidation allowBlank="true" errorStyle="stop" operator="between" showDropDown="false" showErrorMessage="false" showInputMessage="false" sqref="F16" type="list">
      <formula1>"0,1"</formula1>
      <formula2>0</formula2>
    </dataValidation>
    <dataValidation allowBlank="true" errorStyle="stop" operator="between" showDropDown="false" showErrorMessage="false" showInputMessage="false" sqref="F5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0"/>
    <col collapsed="false" customWidth="true" hidden="false" outlineLevel="0" max="3" min="3" style="0" width="48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216</v>
      </c>
    </row>
    <row r="2" customFormat="false" ht="15" hidden="false" customHeight="false" outlineLevel="0" collapsed="false">
      <c r="A2" s="2" t="s">
        <v>217</v>
      </c>
    </row>
    <row r="4" customFormat="false" ht="15" hidden="false" customHeight="false" outlineLevel="0" collapsed="false">
      <c r="A4" s="10" t="s">
        <v>9</v>
      </c>
      <c r="B4" s="10" t="s">
        <v>218</v>
      </c>
      <c r="C4" s="10" t="s">
        <v>219</v>
      </c>
      <c r="D4" s="10" t="s">
        <v>220</v>
      </c>
    </row>
    <row r="5" customFormat="false" ht="35.05" hidden="false" customHeight="false" outlineLevel="0" collapsed="false">
      <c r="A5" s="12" t="s">
        <v>221</v>
      </c>
      <c r="B5" s="12" t="s">
        <v>222</v>
      </c>
      <c r="C5" s="12" t="s">
        <v>223</v>
      </c>
      <c r="D5" s="12" t="s">
        <v>224</v>
      </c>
    </row>
    <row r="6" customFormat="false" ht="15" hidden="false" customHeight="false" outlineLevel="0" collapsed="false">
      <c r="A6" s="12" t="s">
        <v>225</v>
      </c>
      <c r="B6" s="12" t="s">
        <v>226</v>
      </c>
      <c r="C6" s="12" t="s">
        <v>227</v>
      </c>
      <c r="D6" s="12" t="s">
        <v>228</v>
      </c>
    </row>
    <row r="7" customFormat="false" ht="15" hidden="false" customHeight="false" outlineLevel="0" collapsed="false">
      <c r="A7" s="12" t="s">
        <v>229</v>
      </c>
      <c r="B7" s="12" t="s">
        <v>230</v>
      </c>
      <c r="C7" s="12" t="s">
        <v>231</v>
      </c>
      <c r="D7" s="12" t="s">
        <v>232</v>
      </c>
    </row>
    <row r="8" customFormat="false" ht="23.85" hidden="false" customHeight="false" outlineLevel="0" collapsed="false">
      <c r="A8" s="12" t="s">
        <v>233</v>
      </c>
      <c r="B8" s="12" t="s">
        <v>234</v>
      </c>
      <c r="C8" s="12" t="s">
        <v>235</v>
      </c>
      <c r="D8" s="12" t="s">
        <v>236</v>
      </c>
    </row>
    <row r="9" customFormat="false" ht="23.85" hidden="false" customHeight="false" outlineLevel="0" collapsed="false">
      <c r="A9" s="12" t="s">
        <v>237</v>
      </c>
      <c r="B9" s="12" t="s">
        <v>238</v>
      </c>
      <c r="C9" s="12" t="s">
        <v>239</v>
      </c>
      <c r="D9" s="12" t="s">
        <v>240</v>
      </c>
    </row>
    <row r="10" customFormat="false" ht="23.85" hidden="false" customHeight="false" outlineLevel="0" collapsed="false">
      <c r="A10" s="12" t="s">
        <v>241</v>
      </c>
      <c r="B10" s="12" t="s">
        <v>242</v>
      </c>
      <c r="C10" s="12" t="s">
        <v>243</v>
      </c>
      <c r="D10" s="12" t="s">
        <v>244</v>
      </c>
    </row>
    <row r="11" customFormat="false" ht="35.05" hidden="false" customHeight="false" outlineLevel="0" collapsed="false">
      <c r="A11" s="12" t="s">
        <v>245</v>
      </c>
      <c r="B11" s="12" t="s">
        <v>246</v>
      </c>
      <c r="C11" s="12" t="s">
        <v>247</v>
      </c>
      <c r="D11" s="12" t="s">
        <v>248</v>
      </c>
    </row>
    <row r="12" customFormat="false" ht="15" hidden="false" customHeight="false" outlineLevel="0" collapsed="false">
      <c r="A12" s="12" t="s">
        <v>249</v>
      </c>
      <c r="B12" s="12" t="s">
        <v>250</v>
      </c>
      <c r="C12" s="12" t="s">
        <v>251</v>
      </c>
      <c r="D12" s="12" t="s">
        <v>252</v>
      </c>
    </row>
    <row r="13" customFormat="false" ht="23.85" hidden="false" customHeight="false" outlineLevel="0" collapsed="false">
      <c r="A13" s="12" t="s">
        <v>253</v>
      </c>
      <c r="B13" s="12" t="s">
        <v>254</v>
      </c>
      <c r="C13" s="12" t="s">
        <v>255</v>
      </c>
      <c r="D13" s="12" t="s">
        <v>256</v>
      </c>
    </row>
    <row r="14" customFormat="false" ht="23.85" hidden="false" customHeight="false" outlineLevel="0" collapsed="false">
      <c r="A14" s="12" t="s">
        <v>257</v>
      </c>
      <c r="B14" s="12" t="s">
        <v>258</v>
      </c>
      <c r="C14" s="12" t="s">
        <v>259</v>
      </c>
      <c r="D14" s="12" t="s">
        <v>260</v>
      </c>
    </row>
    <row r="15" customFormat="false" ht="15" hidden="false" customHeight="false" outlineLevel="0" collapsed="false">
      <c r="A15" s="12" t="s">
        <v>261</v>
      </c>
      <c r="B15" s="12" t="s">
        <v>262</v>
      </c>
      <c r="C15" s="12" t="s">
        <v>263</v>
      </c>
      <c r="D15" s="12" t="s">
        <v>264</v>
      </c>
    </row>
    <row r="16" customFormat="false" ht="23.85" hidden="false" customHeight="false" outlineLevel="0" collapsed="false">
      <c r="A16" s="12" t="s">
        <v>265</v>
      </c>
      <c r="B16" s="12" t="s">
        <v>266</v>
      </c>
      <c r="C16" s="12" t="s">
        <v>267</v>
      </c>
      <c r="D16" s="12" t="s">
        <v>268</v>
      </c>
    </row>
    <row r="17" customFormat="false" ht="15" hidden="false" customHeight="false" outlineLevel="0" collapsed="false">
      <c r="A17" s="12" t="s">
        <v>269</v>
      </c>
      <c r="B17" s="12" t="s">
        <v>270</v>
      </c>
      <c r="C17" s="12" t="s">
        <v>271</v>
      </c>
      <c r="D17" s="12" t="s">
        <v>272</v>
      </c>
    </row>
    <row r="18" customFormat="false" ht="23.85" hidden="false" customHeight="false" outlineLevel="0" collapsed="false">
      <c r="A18" s="12" t="s">
        <v>273</v>
      </c>
      <c r="B18" s="12" t="s">
        <v>274</v>
      </c>
      <c r="C18" s="12" t="s">
        <v>275</v>
      </c>
      <c r="D18" s="12" t="s">
        <v>276</v>
      </c>
    </row>
    <row r="19" customFormat="false" ht="15" hidden="false" customHeight="false" outlineLevel="0" collapsed="false">
      <c r="A19" s="12" t="s">
        <v>277</v>
      </c>
      <c r="B19" s="12" t="s">
        <v>278</v>
      </c>
      <c r="C19" s="12" t="s">
        <v>279</v>
      </c>
      <c r="D19" s="12" t="s">
        <v>280</v>
      </c>
    </row>
    <row r="20" customFormat="false" ht="15" hidden="false" customHeight="false" outlineLevel="0" collapsed="false">
      <c r="A20" s="12" t="s">
        <v>281</v>
      </c>
      <c r="B20" s="12" t="s">
        <v>282</v>
      </c>
      <c r="C20" s="12" t="s">
        <v>283</v>
      </c>
      <c r="D20" s="12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5" min="3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285</v>
      </c>
    </row>
    <row r="2" customFormat="false" ht="15" hidden="false" customHeight="false" outlineLevel="0" collapsed="false">
      <c r="A2" s="2" t="s">
        <v>286</v>
      </c>
    </row>
    <row r="4" customFormat="false" ht="15" hidden="false" customHeight="false" outlineLevel="0" collapsed="false">
      <c r="B4" s="40" t="s">
        <v>287</v>
      </c>
      <c r="C4" s="41" t="s">
        <v>13</v>
      </c>
      <c r="D4" s="41" t="s">
        <v>14</v>
      </c>
      <c r="E4" s="41" t="s">
        <v>15</v>
      </c>
      <c r="F4" s="41" t="s">
        <v>288</v>
      </c>
    </row>
    <row r="5" customFormat="false" ht="15" hidden="false" customHeight="false" outlineLevel="0" collapsed="false">
      <c r="B5" s="42" t="s">
        <v>289</v>
      </c>
      <c r="C5" s="43"/>
      <c r="D5" s="43"/>
      <c r="E5" s="43"/>
      <c r="F5" s="43"/>
    </row>
    <row r="6" customFormat="false" ht="15" hidden="false" customHeight="false" outlineLevel="0" collapsed="false">
      <c r="B6" s="44" t="s">
        <v>290</v>
      </c>
      <c r="C6" s="45" t="n">
        <f aca="false">N('Входные данные'!$E$14)</f>
        <v>1000000</v>
      </c>
      <c r="D6" s="45" t="n">
        <f aca="false">N('Входные данные'!$F$14)</f>
        <v>1000000</v>
      </c>
      <c r="E6" s="45" t="n">
        <f aca="false">N('Входные данные'!$G$14)</f>
        <v>1000000</v>
      </c>
      <c r="F6" s="46" t="s">
        <v>291</v>
      </c>
    </row>
    <row r="7" customFormat="false" ht="15" hidden="false" customHeight="false" outlineLevel="0" collapsed="false">
      <c r="B7" s="44" t="s">
        <v>292</v>
      </c>
      <c r="C7" s="45" t="n">
        <f aca="false">IF(N('Входные данные'!$E$16)=1,'Юнит-экономика'!$C$6-'Юнит-экономика'!$C$6/(1+N('Входные данные'!$E$17)),0)</f>
        <v>0</v>
      </c>
      <c r="D7" s="45" t="n">
        <f aca="false">IF(N('Входные данные'!$F$16)=1,'Юнит-экономика'!$D$6-'Юнит-экономика'!$D$6/(1+N('Входные данные'!$F$17)),0)</f>
        <v>0</v>
      </c>
      <c r="E7" s="45" t="n">
        <f aca="false">IF(N('Входные данные'!$G$16)=1,'Юнит-экономика'!$E$6-'Юнит-экономика'!$E$6/(1+N('Входные данные'!$G$17)),0)</f>
        <v>0</v>
      </c>
      <c r="F7" s="46" t="s">
        <v>293</v>
      </c>
    </row>
    <row r="8" customFormat="false" ht="15" hidden="false" customHeight="false" outlineLevel="0" collapsed="false">
      <c r="B8" s="3" t="s">
        <v>294</v>
      </c>
      <c r="C8" s="47" t="n">
        <f aca="false">'Юнит-экономика'!$C$6-'Юнит-экономика'!$C$7</f>
        <v>1000000</v>
      </c>
      <c r="D8" s="47" t="n">
        <f aca="false">'Юнит-экономика'!$D$6-'Юнит-экономика'!$D$7</f>
        <v>1000000</v>
      </c>
      <c r="E8" s="47" t="n">
        <f aca="false">'Юнит-экономика'!$E$6-'Юнит-экономика'!$E$7</f>
        <v>1000000</v>
      </c>
    </row>
    <row r="9" customFormat="false" ht="15" hidden="false" customHeight="false" outlineLevel="0" collapsed="false">
      <c r="B9" s="44" t="s">
        <v>295</v>
      </c>
      <c r="C9" s="45" t="n">
        <f aca="false">N('Входные данные'!$E$22)+N('Входные данные'!$E$23)+N('Входные данные'!$E$24)+N('Входные данные'!$E$25)+N('Входные данные'!$E$26)+N('Входные данные'!$E$27)+N('Входные данные'!$E$28)</f>
        <v>0</v>
      </c>
      <c r="D9" s="45" t="n">
        <f aca="false">N('Входные данные'!$F$22)+N('Входные данные'!$F$23)+N('Входные данные'!$F$24)+N('Входные данные'!$F$25)+N('Входные данные'!$F$26)+N('Входные данные'!$F$27)+N('Входные данные'!$F$28)</f>
        <v>0</v>
      </c>
      <c r="E9" s="45" t="n">
        <f aca="false">N('Входные данные'!$G$22)+N('Входные данные'!$G$23)+N('Входные данные'!$G$24)+N('Входные данные'!$G$25)+N('Входные данные'!$G$26)+N('Входные данные'!$G$27)+N('Входные данные'!$G$28)</f>
        <v>0</v>
      </c>
      <c r="F9" s="46" t="s">
        <v>296</v>
      </c>
    </row>
    <row r="10" customFormat="false" ht="15" hidden="false" customHeight="false" outlineLevel="0" collapsed="false">
      <c r="B10" s="44" t="s">
        <v>297</v>
      </c>
      <c r="C10" s="45" t="n">
        <f aca="false">IF(N('Входные данные'!$E$20)=2,'Юнит-экономика'!$C$9,'Юнит-экономика'!$C$8*(1-N('Входные данные'!$E$21)))</f>
        <v>700000</v>
      </c>
      <c r="D10" s="45" t="n">
        <f aca="false">IF(N('Входные данные'!$F$20)=2,'Юнит-экономика'!$D$9,'Юнит-экономика'!$D$8*(1-N('Входные данные'!$F$21)))</f>
        <v>500000</v>
      </c>
      <c r="E10" s="45" t="n">
        <f aca="false">IF(N('Входные данные'!$G$20)=2,'Юнит-экономика'!$E$9,'Юнит-экономика'!$E$8*(1-N('Входные данные'!$G$21)))</f>
        <v>500000</v>
      </c>
      <c r="F10" s="46" t="s">
        <v>298</v>
      </c>
    </row>
    <row r="11" customFormat="false" ht="15" hidden="false" customHeight="false" outlineLevel="0" collapsed="false">
      <c r="B11" s="3" t="s">
        <v>299</v>
      </c>
      <c r="C11" s="47" t="n">
        <f aca="false">'Юнит-экономика'!$C$8-'Юнит-экономика'!$C$10</f>
        <v>300000</v>
      </c>
      <c r="D11" s="47" t="n">
        <f aca="false">'Юнит-экономика'!$D$8-'Юнит-экономика'!$D$10</f>
        <v>500000</v>
      </c>
      <c r="E11" s="47" t="n">
        <f aca="false">'Юнит-экономика'!$E$8-'Юнит-экономика'!$E$10</f>
        <v>500000</v>
      </c>
    </row>
    <row r="12" customFormat="false" ht="15" hidden="false" customHeight="false" outlineLevel="0" collapsed="false">
      <c r="B12" s="44" t="s">
        <v>300</v>
      </c>
      <c r="C12" s="48" t="n">
        <f aca="false">IF('Юнит-экономика'!$C$8&gt;0,'Юнит-экономика'!$C$11/'Юнит-экономика'!$C$8,0)</f>
        <v>0.3</v>
      </c>
      <c r="D12" s="48" t="n">
        <f aca="false">IF('Юнит-экономика'!$D$8&gt;0,'Юнит-экономика'!$D$11/'Юнит-экономика'!$D$8,0)</f>
        <v>0.5</v>
      </c>
      <c r="E12" s="48" t="n">
        <f aca="false">IF('Юнит-экономика'!$E$8&gt;0,'Юнит-экономика'!$E$11/'Юнит-экономика'!$E$8,0)</f>
        <v>0.5</v>
      </c>
    </row>
    <row r="13" customFormat="false" ht="15" hidden="false" customHeight="false" outlineLevel="0" collapsed="false">
      <c r="B13" s="44" t="s">
        <v>301</v>
      </c>
      <c r="C13" s="45" t="str">
        <f aca="false">IF(N('Входные данные'!$E$20)=2,IF('Юнит-экономика'!$C$9=0,"НЕТ ДАННЫХ: строки пусты","построчно"),"оценка владельца [проверить]")</f>
        <v>оценка владельца [проверить]</v>
      </c>
      <c r="D13" s="45" t="str">
        <f aca="false">IF(N('Входные данные'!$F$20)=2,IF('Юнит-экономика'!$D$9=0,"НЕТ ДАННЫХ: строки пусты","построчно"),"оценка владельца [проверить]")</f>
        <v>оценка владельца [проверить]</v>
      </c>
      <c r="E13" s="45" t="str">
        <f aca="false">IF(N('Входные данные'!$G$20)=2,IF('Юнит-экономика'!$E$9=0,"НЕТ ДАННЫХ: строки пусты","построчно"),"оценка владельца [проверить]")</f>
        <v>оценка владельца [проверить]</v>
      </c>
    </row>
    <row r="15" customFormat="false" ht="15" hidden="false" customHeight="false" outlineLevel="0" collapsed="false">
      <c r="B15" s="42" t="s">
        <v>302</v>
      </c>
      <c r="C15" s="43"/>
      <c r="D15" s="43"/>
      <c r="E15" s="43"/>
      <c r="F15" s="43"/>
    </row>
    <row r="16" customFormat="false" ht="15" hidden="false" customHeight="false" outlineLevel="0" collapsed="false">
      <c r="B16" s="44" t="s">
        <v>303</v>
      </c>
      <c r="C16" s="45" t="n">
        <f aca="false">N('Входные данные'!$E$34)*'Юнит-экономика'!$C$8</f>
        <v>150000</v>
      </c>
      <c r="D16" s="45" t="n">
        <f aca="false">N('Входные данные'!$F$34)*'Юнит-экономика'!$D$8</f>
        <v>150000</v>
      </c>
      <c r="E16" s="45" t="n">
        <f aca="false">N('Входные данные'!$G$34)*'Юнит-экономика'!$E$8</f>
        <v>150000</v>
      </c>
      <c r="F16" s="46" t="s">
        <v>304</v>
      </c>
    </row>
    <row r="17" customFormat="false" ht="15" hidden="false" customHeight="false" outlineLevel="0" collapsed="false">
      <c r="B17" s="44" t="s">
        <v>305</v>
      </c>
      <c r="C17" s="45" t="n">
        <f aca="false">'Юнит-экономика'!$C$11-'Юнит-экономика'!$C$16</f>
        <v>150000</v>
      </c>
      <c r="D17" s="45" t="n">
        <f aca="false">'Юнит-экономика'!$D$11-'Юнит-экономика'!$D$16</f>
        <v>350000</v>
      </c>
      <c r="E17" s="45" t="n">
        <f aca="false">'Юнит-экономика'!$E$11-'Юнит-экономика'!$E$16</f>
        <v>350000</v>
      </c>
    </row>
    <row r="18" customFormat="false" ht="15" hidden="false" customHeight="false" outlineLevel="0" collapsed="false">
      <c r="B18" s="44" t="s">
        <v>306</v>
      </c>
      <c r="C18" s="48" t="n">
        <f aca="false">IF('Юнит-экономика'!$C$11&gt;0,'Юнит-экономика'!$C$16/'Юнит-экономика'!$C$11,0)</f>
        <v>0.5</v>
      </c>
      <c r="D18" s="48" t="n">
        <f aca="false">IF('Юнит-экономика'!$D$11&gt;0,'Юнит-экономика'!$D$16/'Юнит-экономика'!$D$11,0)</f>
        <v>0.3</v>
      </c>
      <c r="E18" s="48" t="n">
        <f aca="false">IF('Юнит-экономика'!$E$11&gt;0,'Юнит-экономика'!$E$16/'Юнит-экономика'!$E$11,0)</f>
        <v>0.3</v>
      </c>
      <c r="F18" s="46" t="s">
        <v>307</v>
      </c>
    </row>
    <row r="19" customFormat="false" ht="15" hidden="false" customHeight="false" outlineLevel="0" collapsed="false">
      <c r="B19" s="44" t="s">
        <v>308</v>
      </c>
      <c r="C19" s="45" t="n">
        <f aca="false">N('Входные данные'!$E$33)*'Юнит-экономика'!$C$16</f>
        <v>0</v>
      </c>
      <c r="D19" s="45" t="n">
        <f aca="false">N('Входные данные'!$F$33)*'Юнит-экономика'!$D$16</f>
        <v>0</v>
      </c>
      <c r="E19" s="45" t="n">
        <f aca="false">N('Входные данные'!$G$33)*'Юнит-экономика'!$E$16</f>
        <v>0</v>
      </c>
      <c r="F19" s="46" t="s">
        <v>309</v>
      </c>
    </row>
    <row r="20" customFormat="false" ht="15" hidden="false" customHeight="false" outlineLevel="0" collapsed="false">
      <c r="B20" s="3" t="s">
        <v>310</v>
      </c>
      <c r="C20" s="47" t="n">
        <f aca="false">'Юнит-экономика'!$C$11-'Юнит-экономика'!$C$19</f>
        <v>300000</v>
      </c>
      <c r="D20" s="47" t="n">
        <f aca="false">'Юнит-экономика'!$D$11-'Юнит-экономика'!$D$19</f>
        <v>500000</v>
      </c>
      <c r="E20" s="47" t="n">
        <f aca="false">'Юнит-экономика'!$E$11-'Юнит-экономика'!$E$19</f>
        <v>500000</v>
      </c>
      <c r="F20" s="46" t="s">
        <v>311</v>
      </c>
    </row>
    <row r="22" customFormat="false" ht="15" hidden="false" customHeight="false" outlineLevel="0" collapsed="false">
      <c r="B22" s="42" t="s">
        <v>312</v>
      </c>
      <c r="C22" s="43"/>
      <c r="D22" s="43"/>
      <c r="E22" s="43"/>
      <c r="F22" s="43"/>
    </row>
    <row r="23" customFormat="false" ht="15" hidden="false" customHeight="false" outlineLevel="0" collapsed="false">
      <c r="B23" s="3" t="s">
        <v>313</v>
      </c>
      <c r="C23" s="47" t="n">
        <f aca="false">N('Входные данные'!$E$39)*MAX(0,'Юнит-экономика'!$C$20)</f>
        <v>60000</v>
      </c>
      <c r="D23" s="47" t="n">
        <f aca="false">N('Входные данные'!$F$39)*MAX(0,'Юнит-экономика'!$D$20)</f>
        <v>100000</v>
      </c>
      <c r="E23" s="47" t="n">
        <f aca="false">N('Входные данные'!$G$39)*MAX(0,'Юнит-экономика'!$E$20)</f>
        <v>100000</v>
      </c>
      <c r="F23" s="46" t="s">
        <v>314</v>
      </c>
    </row>
    <row r="24" customFormat="false" ht="15" hidden="false" customHeight="false" outlineLevel="0" collapsed="false">
      <c r="B24" s="44" t="s">
        <v>315</v>
      </c>
      <c r="C24" s="45" t="n">
        <f aca="false">'Юнит-экономика'!$C$23*N('Входные данные'!$E$45)</f>
        <v>1200</v>
      </c>
      <c r="D24" s="45" t="n">
        <f aca="false">'Юнит-экономика'!$D$23*N('Входные данные'!$F$45)</f>
        <v>3500</v>
      </c>
      <c r="E24" s="45" t="n">
        <f aca="false">'Юнит-экономика'!$E$23*N('Входные данные'!$G$45)</f>
        <v>5000</v>
      </c>
    </row>
    <row r="25" customFormat="false" ht="23.85" hidden="false" customHeight="false" outlineLevel="0" collapsed="false">
      <c r="B25" s="44" t="s">
        <v>316</v>
      </c>
      <c r="C25" s="45" t="n">
        <f aca="false">'Юнит-экономика'!$C$23*N('Входные данные'!$E$44)*N('Входные данные'!$E$45)*N('Входные данные'!$E$46)</f>
        <v>180</v>
      </c>
      <c r="D25" s="45" t="n">
        <f aca="false">'Юнит-экономика'!$D$23*N('Входные данные'!$F$44)*N('Входные данные'!$F$45)*N('Входные данные'!$F$46)</f>
        <v>700</v>
      </c>
      <c r="E25" s="45" t="n">
        <f aca="false">'Юнит-экономика'!$E$23*N('Входные данные'!$G$44)*N('Входные данные'!$G$45)*N('Входные данные'!$G$46)</f>
        <v>1250</v>
      </c>
      <c r="F25" s="46" t="s">
        <v>317</v>
      </c>
    </row>
    <row r="26" customFormat="false" ht="15" hidden="false" customHeight="false" outlineLevel="0" collapsed="false">
      <c r="B26" s="44" t="s">
        <v>318</v>
      </c>
      <c r="C26" s="49" t="n">
        <f aca="false">IF(N('Входные данные'!$E$18)&gt;0,'Юнит-экономика'!$C$25/N('Входные данные'!$E$18),0)</f>
        <v>0.015</v>
      </c>
      <c r="D26" s="49" t="n">
        <f aca="false">IF(N('Входные данные'!$F$18)&gt;0,'Юнит-экономика'!$D$25/N('Входные данные'!$F$18),0)</f>
        <v>0.0583333333333333</v>
      </c>
      <c r="E26" s="49" t="n">
        <f aca="false">IF(N('Входные данные'!$G$18)&gt;0,'Юнит-экономика'!$E$25/N('Входные данные'!$G$18),0)</f>
        <v>0.104166666666667</v>
      </c>
    </row>
    <row r="27" customFormat="false" ht="23.85" hidden="false" customHeight="false" outlineLevel="0" collapsed="false">
      <c r="B27" s="44" t="s">
        <v>319</v>
      </c>
      <c r="C27" s="50" t="n">
        <f aca="false">IF(AND('Юнит-экономика'!$C$17&gt;0,N('Входные данные'!$E$39)&gt;0),'Юнит-экономика'!$C$16/(N('Входные данные'!$E$39)*'Юнит-экономика'!$C$17),"н/д")</f>
        <v>5</v>
      </c>
      <c r="D27" s="50" t="n">
        <f aca="false">IF(AND('Юнит-экономика'!$D$17&gt;0,N('Входные данные'!$F$39)&gt;0),'Юнит-экономика'!$D$16/(N('Входные данные'!$F$39)*'Юнит-экономика'!$D$17),"н/д")</f>
        <v>2.14285714285714</v>
      </c>
      <c r="E27" s="50" t="n">
        <f aca="false">IF(AND('Юнит-экономика'!$E$17&gt;0,N('Входные данные'!$G$39)&gt;0),'Юнит-экономика'!$E$16/(N('Входные данные'!$G$39)*'Юнит-экономика'!$E$17),"н/д")</f>
        <v>2.14285714285714</v>
      </c>
      <c r="F27" s="46" t="s">
        <v>320</v>
      </c>
    </row>
    <row r="29" customFormat="false" ht="15" hidden="false" customHeight="false" outlineLevel="0" collapsed="false">
      <c r="B29" s="42" t="s">
        <v>321</v>
      </c>
      <c r="C29" s="43"/>
      <c r="D29" s="43"/>
      <c r="E29" s="43"/>
      <c r="F29" s="43"/>
    </row>
    <row r="30" customFormat="false" ht="15" hidden="false" customHeight="false" outlineLevel="0" collapsed="false">
      <c r="B30" s="44" t="s">
        <v>322</v>
      </c>
      <c r="C30" s="45" t="n">
        <f aca="false">'Юнит-экономика'!$C$20*N('Входные данные'!$E$32)</f>
        <v>300000</v>
      </c>
      <c r="D30" s="45" t="n">
        <f aca="false">'Юнит-экономика'!$D$20*N('Входные данные'!$F$32)</f>
        <v>500000</v>
      </c>
      <c r="E30" s="45" t="n">
        <f aca="false">'Юнит-экономика'!$E$20*N('Входные данные'!$G$32)</f>
        <v>500000</v>
      </c>
    </row>
    <row r="31" customFormat="false" ht="15" hidden="false" customHeight="false" outlineLevel="0" collapsed="false">
      <c r="B31" s="44" t="s">
        <v>323</v>
      </c>
      <c r="C31" s="45" t="n">
        <f aca="false">((1-N('Входные данные'!$E$35))*'Юнит-экономика'!$C$20+N('Входные данные'!$E$35)*N('Входные данные'!$E$36)*'Юнит-экономика'!$C$8)*N('Входные данные'!$E$32)</f>
        <v>240000</v>
      </c>
      <c r="D31" s="45" t="n">
        <f aca="false">((1-N('Входные данные'!$F$35))*'Юнит-экономика'!$D$20+N('Входные данные'!$F$35)*N('Входные данные'!$F$36)*'Юнит-экономика'!$D$8)*N('Входные данные'!$F$32)</f>
        <v>400000</v>
      </c>
      <c r="E31" s="45" t="n">
        <f aca="false">((1-N('Входные данные'!$G$35))*'Юнит-экономика'!$E$20+N('Входные данные'!$G$35)*N('Входные данные'!$G$36)*'Юнит-экономика'!$E$8)*N('Входные данные'!$G$32)</f>
        <v>400000</v>
      </c>
      <c r="F31" s="46" t="s">
        <v>324</v>
      </c>
    </row>
    <row r="32" customFormat="false" ht="15" hidden="false" customHeight="false" outlineLevel="0" collapsed="false">
      <c r="B32" s="3" t="s">
        <v>325</v>
      </c>
      <c r="C32" s="47" t="n">
        <f aca="false">IF(N('Входные данные'!$E$30)=2,'Юнит-экономика'!$C$31,'Юнит-экономика'!$C$30)</f>
        <v>300000</v>
      </c>
      <c r="D32" s="47" t="n">
        <f aca="false">IF(N('Входные данные'!$F$30)=2,'Юнит-экономика'!$D$31,'Юнит-экономика'!$D$30)</f>
        <v>500000</v>
      </c>
      <c r="E32" s="47" t="n">
        <f aca="false">IF(N('Входные данные'!$G$30)=2,'Юнит-экономика'!$E$31,'Юнит-экономика'!$E$30)</f>
        <v>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5" min="3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326</v>
      </c>
    </row>
    <row r="2" customFormat="false" ht="15" hidden="false" customHeight="false" outlineLevel="0" collapsed="false">
      <c r="A2" s="2" t="s">
        <v>327</v>
      </c>
    </row>
    <row r="4" customFormat="false" ht="15" hidden="false" customHeight="false" outlineLevel="0" collapsed="false">
      <c r="B4" s="40" t="s">
        <v>287</v>
      </c>
      <c r="C4" s="41" t="s">
        <v>13</v>
      </c>
      <c r="D4" s="41" t="s">
        <v>14</v>
      </c>
      <c r="E4" s="41" t="s">
        <v>15</v>
      </c>
      <c r="F4" s="41" t="s">
        <v>288</v>
      </c>
    </row>
    <row r="5" customFormat="false" ht="15" hidden="false" customHeight="false" outlineLevel="0" collapsed="false">
      <c r="B5" s="44" t="s">
        <v>328</v>
      </c>
      <c r="C5" s="45" t="str">
        <f aca="false">IF(N('Входные данные'!$E$43)&gt;0,N('Входные данные'!$E$42)/N('Входные данные'!$E$43),"нужно измерить")</f>
        <v>нужно измерить</v>
      </c>
      <c r="D5" s="45" t="str">
        <f aca="false">IF(N('Входные данные'!$F$43)&gt;0,N('Входные данные'!$F$42)/N('Входные данные'!$F$43),"нужно измерить")</f>
        <v>нужно измерить</v>
      </c>
      <c r="E5" s="45" t="str">
        <f aca="false">IF(N('Входные данные'!$G$43)&gt;0,N('Входные данные'!$G$42)/N('Входные данные'!$G$43),"нужно измерить")</f>
        <v>нужно измерить</v>
      </c>
      <c r="F5" s="46" t="s">
        <v>329</v>
      </c>
    </row>
    <row r="6" customFormat="false" ht="15" hidden="false" customHeight="false" outlineLevel="0" collapsed="false">
      <c r="B6" s="3" t="s">
        <v>330</v>
      </c>
      <c r="C6" s="47" t="n">
        <f aca="false">N('Входные данные'!$E$42)</f>
        <v>100</v>
      </c>
      <c r="D6" s="47" t="n">
        <f aca="false">N('Входные данные'!$F$42)</f>
        <v>300</v>
      </c>
      <c r="E6" s="47" t="n">
        <f aca="false">N('Входные данные'!$G$42)</f>
        <v>900</v>
      </c>
      <c r="F6" s="46" t="s">
        <v>331</v>
      </c>
    </row>
    <row r="7" customFormat="false" ht="15" hidden="false" customHeight="false" outlineLevel="0" collapsed="false">
      <c r="B7" s="44" t="s">
        <v>332</v>
      </c>
      <c r="C7" s="48" t="n">
        <f aca="false">N('Входные данные'!$E$44)</f>
        <v>0.15</v>
      </c>
      <c r="D7" s="48" t="n">
        <f aca="false">N('Входные данные'!$F$44)</f>
        <v>0.2</v>
      </c>
      <c r="E7" s="48" t="n">
        <f aca="false">N('Входные данные'!$G$44)</f>
        <v>0.25</v>
      </c>
      <c r="F7" s="46" t="s">
        <v>333</v>
      </c>
    </row>
    <row r="8" customFormat="false" ht="15" hidden="false" customHeight="false" outlineLevel="0" collapsed="false">
      <c r="B8" s="44" t="s">
        <v>334</v>
      </c>
      <c r="C8" s="50" t="n">
        <f aca="false">Воронка!$C$6*Воронка!$C$7</f>
        <v>15</v>
      </c>
      <c r="D8" s="50" t="n">
        <f aca="false">Воронка!$D$6*Воронка!$D$7</f>
        <v>60</v>
      </c>
      <c r="E8" s="50" t="n">
        <f aca="false">Воронка!$E$6*Воронка!$E$7</f>
        <v>225</v>
      </c>
    </row>
    <row r="9" customFormat="false" ht="15" hidden="false" customHeight="false" outlineLevel="0" collapsed="false">
      <c r="B9" s="44" t="s">
        <v>335</v>
      </c>
      <c r="C9" s="48" t="n">
        <f aca="false">N('Входные данные'!$E$45)</f>
        <v>0.02</v>
      </c>
      <c r="D9" s="48" t="n">
        <f aca="false">N('Входные данные'!$F$45)</f>
        <v>0.035</v>
      </c>
      <c r="E9" s="48" t="n">
        <f aca="false">N('Входные данные'!$G$45)</f>
        <v>0.05</v>
      </c>
      <c r="F9" s="46" t="s">
        <v>333</v>
      </c>
    </row>
    <row r="10" customFormat="false" ht="15" hidden="false" customHeight="false" outlineLevel="0" collapsed="false">
      <c r="B10" s="44" t="s">
        <v>336</v>
      </c>
      <c r="C10" s="51" t="n">
        <f aca="false">Воронка!$C$8*Воронка!$C$9</f>
        <v>0.3</v>
      </c>
      <c r="D10" s="51" t="n">
        <f aca="false">Воронка!$D$8*Воронка!$D$9</f>
        <v>2.1</v>
      </c>
      <c r="E10" s="51" t="n">
        <f aca="false">Воронка!$E$8*Воронка!$E$9</f>
        <v>11.25</v>
      </c>
    </row>
    <row r="11" customFormat="false" ht="15" hidden="false" customHeight="false" outlineLevel="0" collapsed="false">
      <c r="B11" s="44" t="s">
        <v>337</v>
      </c>
      <c r="C11" s="48" t="n">
        <f aca="false">N('Входные данные'!$E$46)</f>
        <v>1</v>
      </c>
      <c r="D11" s="48" t="n">
        <f aca="false">N('Входные данные'!$F$46)</f>
        <v>1</v>
      </c>
      <c r="E11" s="48" t="n">
        <f aca="false">N('Входные данные'!$G$46)</f>
        <v>1</v>
      </c>
      <c r="F11" s="46" t="s">
        <v>338</v>
      </c>
    </row>
    <row r="12" customFormat="false" ht="15" hidden="false" customHeight="false" outlineLevel="0" collapsed="false">
      <c r="B12" s="44" t="s">
        <v>339</v>
      </c>
      <c r="C12" s="51" t="n">
        <f aca="false">Воронка!$C$10*Воронка!$C$11</f>
        <v>0.3</v>
      </c>
      <c r="D12" s="51" t="n">
        <f aca="false">Воронка!$D$10*Воронка!$D$11</f>
        <v>2.1</v>
      </c>
      <c r="E12" s="51" t="n">
        <f aca="false">Воронка!$E$10*Воронка!$E$11</f>
        <v>11.25</v>
      </c>
    </row>
    <row r="13" customFormat="false" ht="15" hidden="false" customHeight="false" outlineLevel="0" collapsed="false">
      <c r="B13" s="44" t="s">
        <v>340</v>
      </c>
      <c r="C13" s="52" t="n">
        <f aca="false">Воронка!$C$7*Воронка!$C$9*Воронка!$C$11</f>
        <v>0.003</v>
      </c>
      <c r="D13" s="52" t="n">
        <f aca="false">Воронка!$D$7*Воронка!$D$9*Воронка!$D$11</f>
        <v>0.007</v>
      </c>
      <c r="E13" s="52" t="n">
        <f aca="false">Воронка!$E$7*Воронка!$E$9*Воронка!$E$11</f>
        <v>0.0125</v>
      </c>
      <c r="F13" s="46" t="s">
        <v>341</v>
      </c>
    </row>
    <row r="14" customFormat="false" ht="15" hidden="false" customHeight="false" outlineLevel="0" collapsed="false">
      <c r="B14" s="44" t="s">
        <v>342</v>
      </c>
      <c r="C14" s="45" t="n">
        <f aca="false">IF(Воронка!$C$13&gt;0,1/Воронка!$C$13,"нет конверсии")</f>
        <v>333.333333333333</v>
      </c>
      <c r="D14" s="45" t="n">
        <f aca="false">IF(Воронка!$D$13&gt;0,1/Воронка!$D$13,"нет конверсии")</f>
        <v>142.857142857143</v>
      </c>
      <c r="E14" s="45" t="n">
        <f aca="false">IF(Воронка!$E$13&gt;0,1/Воронка!$E$13,"нет конверсии")</f>
        <v>80</v>
      </c>
    </row>
    <row r="16" customFormat="false" ht="15" hidden="false" customHeight="false" outlineLevel="0" collapsed="false">
      <c r="B16" s="42" t="s">
        <v>343</v>
      </c>
      <c r="C16" s="43"/>
      <c r="D16" s="43"/>
      <c r="E16" s="43"/>
      <c r="F16" s="43"/>
    </row>
    <row r="17" customFormat="false" ht="15" hidden="false" customHeight="false" outlineLevel="0" collapsed="false">
      <c r="B17" s="44" t="s">
        <v>344</v>
      </c>
      <c r="C17" s="48" t="n">
        <f aca="false">IF(N('Входные данные'!$E$31)=2,N('Входные данные'!$E$37),1)</f>
        <v>1</v>
      </c>
      <c r="D17" s="48" t="n">
        <f aca="false">IF(N('Входные данные'!$F$31)=2,N('Входные данные'!$F$37),1)</f>
        <v>1</v>
      </c>
      <c r="E17" s="48" t="n">
        <f aca="false">IF(N('Входные данные'!$G$31)=2,N('Входные данные'!$G$37),1)</f>
        <v>1</v>
      </c>
      <c r="F17" s="46" t="s">
        <v>345</v>
      </c>
    </row>
    <row r="18" customFormat="false" ht="15" hidden="false" customHeight="false" outlineLevel="0" collapsed="false">
      <c r="B18" s="3" t="s">
        <v>346</v>
      </c>
      <c r="C18" s="53" t="n">
        <f aca="false">Воронка!$C$12*Воронка!$C$17</f>
        <v>0.3</v>
      </c>
      <c r="D18" s="53" t="n">
        <f aca="false">Воронка!$D$12*Воронка!$D$17</f>
        <v>2.1</v>
      </c>
      <c r="E18" s="53" t="n">
        <f aca="false">Воронка!$E$12*Воронка!$E$17</f>
        <v>11.25</v>
      </c>
    </row>
    <row r="19" customFormat="false" ht="15" hidden="false" customHeight="false" outlineLevel="0" collapsed="false">
      <c r="B19" s="44" t="s">
        <v>347</v>
      </c>
      <c r="C19" s="45" t="n">
        <f aca="false">Воронка!$C$18*'Юнит-экономика'!$C$8</f>
        <v>300000</v>
      </c>
      <c r="D19" s="45" t="n">
        <f aca="false">Воронка!$D$18*'Юнит-экономика'!$D$8</f>
        <v>2100000</v>
      </c>
      <c r="E19" s="45" t="n">
        <f aca="false">Воронка!$E$18*'Юнит-экономика'!$E$8</f>
        <v>11250000</v>
      </c>
    </row>
    <row r="20" customFormat="false" ht="15" hidden="false" customHeight="false" outlineLevel="0" collapsed="false">
      <c r="B20" s="3" t="s">
        <v>348</v>
      </c>
      <c r="C20" s="47" t="n">
        <f aca="false">Воронка!$C$18*'Юнит-экономика'!$C$32</f>
        <v>90000</v>
      </c>
      <c r="D20" s="47" t="n">
        <f aca="false">Воронка!$D$18*'Юнит-экономика'!$D$32</f>
        <v>1050000</v>
      </c>
      <c r="E20" s="47" t="n">
        <f aca="false">Воронка!$E$18*'Юнит-экономика'!$E$32</f>
        <v>5625000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5" min="3" style="0" width="16"/>
    <col collapsed="false" customWidth="true" hidden="false" outlineLevel="0" max="6" min="6" style="0" width="60"/>
    <col collapsed="false" customWidth="true" hidden="false" outlineLevel="0" max="16" min="7" style="0" width="14"/>
  </cols>
  <sheetData>
    <row r="1" customFormat="false" ht="17.35" hidden="false" customHeight="false" outlineLevel="0" collapsed="false">
      <c r="A1" s="1" t="s">
        <v>349</v>
      </c>
    </row>
    <row r="2" customFormat="false" ht="15" hidden="false" customHeight="false" outlineLevel="0" collapsed="false">
      <c r="A2" s="2" t="s">
        <v>350</v>
      </c>
    </row>
    <row r="4" customFormat="false" ht="15" hidden="false" customHeight="false" outlineLevel="0" collapsed="false">
      <c r="B4" s="40" t="s">
        <v>287</v>
      </c>
      <c r="C4" s="41" t="s">
        <v>13</v>
      </c>
      <c r="D4" s="41" t="s">
        <v>14</v>
      </c>
      <c r="E4" s="41" t="s">
        <v>15</v>
      </c>
      <c r="F4" s="41" t="s">
        <v>288</v>
      </c>
    </row>
    <row r="5" customFormat="false" ht="15" hidden="false" customHeight="false" outlineLevel="0" collapsed="false">
      <c r="B5" s="42" t="s">
        <v>351</v>
      </c>
      <c r="C5" s="43"/>
      <c r="D5" s="43"/>
      <c r="E5" s="43"/>
      <c r="F5" s="43"/>
    </row>
    <row r="6" customFormat="false" ht="15" hidden="false" customHeight="false" outlineLevel="0" collapsed="false">
      <c r="B6" s="44" t="s">
        <v>150</v>
      </c>
      <c r="C6" s="45" t="n">
        <f aca="false">N('Входные данные'!$E$49)</f>
        <v>1000000</v>
      </c>
      <c r="D6" s="45" t="n">
        <f aca="false">N('Входные данные'!$F$49)</f>
        <v>1000000</v>
      </c>
      <c r="E6" s="45" t="n">
        <f aca="false">N('Входные данные'!$G$49)</f>
        <v>1000000</v>
      </c>
      <c r="F6" s="46" t="s">
        <v>291</v>
      </c>
    </row>
    <row r="7" customFormat="false" ht="15" hidden="false" customHeight="false" outlineLevel="0" collapsed="false">
      <c r="B7" s="44" t="s">
        <v>352</v>
      </c>
      <c r="C7" s="45" t="n">
        <f aca="false">N('Входные данные'!$E$50)</f>
        <v>0</v>
      </c>
      <c r="D7" s="45" t="n">
        <f aca="false">N('Входные данные'!$F$50)</f>
        <v>0</v>
      </c>
      <c r="E7" s="45" t="n">
        <f aca="false">N('Входные данные'!$G$50)</f>
        <v>0</v>
      </c>
      <c r="F7" s="46" t="s">
        <v>33</v>
      </c>
    </row>
    <row r="8" customFormat="false" ht="15" hidden="false" customHeight="false" outlineLevel="0" collapsed="false">
      <c r="B8" s="44" t="s">
        <v>353</v>
      </c>
      <c r="C8" s="45" t="n">
        <f aca="false">N('Входные данные'!$E$40)</f>
        <v>0</v>
      </c>
      <c r="D8" s="45" t="n">
        <f aca="false">N('Входные данные'!$F$40)</f>
        <v>0</v>
      </c>
      <c r="E8" s="45" t="n">
        <f aca="false">N('Входные данные'!$G$40)</f>
        <v>0</v>
      </c>
      <c r="F8" s="46" t="s">
        <v>354</v>
      </c>
    </row>
    <row r="9" customFormat="false" ht="15" hidden="false" customHeight="false" outlineLevel="0" collapsed="false">
      <c r="B9" s="3" t="s">
        <v>355</v>
      </c>
      <c r="C9" s="47" t="n">
        <f aca="false">Сценарии_BEP!$C$6+Сценарии_BEP!$C$7+Сценарии_BEP!$C$8</f>
        <v>1000000</v>
      </c>
      <c r="D9" s="47" t="n">
        <f aca="false">Сценарии_BEP!$D$6+Сценарии_BEP!$D$7+Сценарии_BEP!$D$8</f>
        <v>1000000</v>
      </c>
      <c r="E9" s="47" t="n">
        <f aca="false">Сценарии_BEP!$E$6+Сценарии_BEP!$E$7+Сценарии_BEP!$E$8</f>
        <v>1000000</v>
      </c>
    </row>
    <row r="10" customFormat="false" ht="15" hidden="false" customHeight="false" outlineLevel="0" collapsed="false">
      <c r="B10" s="44" t="s">
        <v>356</v>
      </c>
      <c r="C10" s="49" t="n">
        <f aca="false">IF(N('Входные данные'!$E$52)=1,52/12,IF(N('Входные данные'!$E$52)=2,1,IF(AND(N('Входные данные'!$E$52)=3,N('Входные данные'!$E$53)&gt;0),1/N('Входные данные'!$E$53),0)))</f>
        <v>0</v>
      </c>
      <c r="D10" s="49" t="n">
        <f aca="false">IF(N('Входные данные'!$F$52)=1,52/12,IF(N('Входные данные'!$F$52)=2,1,IF(AND(N('Входные данные'!$F$52)=3,N('Входные данные'!$F$53)&gt;0),1/N('Входные данные'!$F$53),0)))</f>
        <v>0</v>
      </c>
      <c r="E10" s="49" t="n">
        <f aca="false">IF(N('Входные данные'!$G$52)=1,52/12,IF(N('Входные данные'!$G$52)=2,1,IF(AND(N('Входные данные'!$G$52)=3,N('Входные данные'!$G$53)&gt;0),1/N('Входные данные'!$G$53),0)))</f>
        <v>0</v>
      </c>
      <c r="F10" s="46" t="s">
        <v>357</v>
      </c>
    </row>
    <row r="11" customFormat="false" ht="15" hidden="false" customHeight="false" outlineLevel="0" collapsed="false">
      <c r="B11" s="44" t="s">
        <v>358</v>
      </c>
      <c r="C11" s="45" t="n">
        <f aca="false">N('Входные данные'!$E$54)*(1-N('Входные данные'!$E$60))*Сценарии_BEP!$C$10*N('Входные данные'!$E$57)</f>
        <v>0</v>
      </c>
      <c r="D11" s="45" t="n">
        <f aca="false">N('Входные данные'!$F$54)*(1-N('Входные данные'!$F$60))*Сценарии_BEP!$D$10*N('Входные данные'!$F$57)</f>
        <v>0</v>
      </c>
      <c r="E11" s="45" t="n">
        <f aca="false">N('Входные данные'!$G$54)*(1-N('Входные данные'!$G$60))*Сценарии_BEP!$E$10*N('Входные данные'!$G$57)</f>
        <v>0</v>
      </c>
      <c r="F11" s="46" t="s">
        <v>359</v>
      </c>
    </row>
    <row r="12" customFormat="false" ht="15" hidden="false" customHeight="false" outlineLevel="0" collapsed="false">
      <c r="B12" s="44" t="s">
        <v>360</v>
      </c>
      <c r="C12" s="45" t="n">
        <f aca="false">N('Входные данные'!$E$55)*(1-N('Входные данные'!$E$61))*Сценарии_BEP!$C$10*N('Входные данные'!$E$58)</f>
        <v>0</v>
      </c>
      <c r="D12" s="45" t="n">
        <f aca="false">N('Входные данные'!$F$55)*(1-N('Входные данные'!$F$61))*Сценарии_BEP!$D$10*N('Входные данные'!$F$58)</f>
        <v>0</v>
      </c>
      <c r="E12" s="45" t="n">
        <f aca="false">N('Входные данные'!$G$55)*(1-N('Входные данные'!$G$61))*Сценарии_BEP!$E$10*N('Входные данные'!$G$58)</f>
        <v>0</v>
      </c>
      <c r="F12" s="46" t="s">
        <v>359</v>
      </c>
    </row>
    <row r="13" customFormat="false" ht="15" hidden="false" customHeight="false" outlineLevel="0" collapsed="false">
      <c r="B13" s="44" t="s">
        <v>361</v>
      </c>
      <c r="C13" s="45" t="n">
        <f aca="false">N('Входные данные'!$E$56)*(1-N('Входные данные'!$E$62))*Сценарии_BEP!$C$10*N('Входные данные'!$E$59)</f>
        <v>0</v>
      </c>
      <c r="D13" s="45" t="n">
        <f aca="false">N('Входные данные'!$F$56)*(1-N('Входные данные'!$F$62))*Сценарии_BEP!$D$10*N('Входные данные'!$F$59)</f>
        <v>0</v>
      </c>
      <c r="E13" s="45" t="n">
        <f aca="false">N('Входные данные'!$G$56)*(1-N('Входные данные'!$G$62))*Сценарии_BEP!$E$10*N('Входные данные'!$G$59)</f>
        <v>0</v>
      </c>
      <c r="F13" s="46" t="s">
        <v>359</v>
      </c>
    </row>
    <row r="14" customFormat="false" ht="15" hidden="false" customHeight="false" outlineLevel="0" collapsed="false">
      <c r="B14" s="44" t="s">
        <v>362</v>
      </c>
      <c r="C14" s="45" t="n">
        <f aca="false">Сценарии_BEP!$C$11+Сценарии_BEP!$C$12+Сценарии_BEP!$C$13</f>
        <v>0</v>
      </c>
      <c r="D14" s="45" t="n">
        <f aca="false">Сценарии_BEP!$D$11+Сценарии_BEP!$D$12+Сценарии_BEP!$D$13</f>
        <v>0</v>
      </c>
      <c r="E14" s="45" t="n">
        <f aca="false">Сценарии_BEP!$E$11+Сценарии_BEP!$E$12+Сценарии_BEP!$E$13</f>
        <v>0</v>
      </c>
      <c r="F14" s="46" t="s">
        <v>363</v>
      </c>
    </row>
    <row r="15" customFormat="false" ht="15" hidden="false" customHeight="false" outlineLevel="0" collapsed="false">
      <c r="B15" s="3" t="s">
        <v>364</v>
      </c>
      <c r="C15" s="47" t="n">
        <f aca="false">Сценарии_BEP!$C$9+Сценарии_BEP!$C$14</f>
        <v>1000000</v>
      </c>
      <c r="D15" s="47" t="n">
        <f aca="false">Сценарии_BEP!$D$9+Сценарии_BEP!$D$14</f>
        <v>1000000</v>
      </c>
      <c r="E15" s="47" t="n">
        <f aca="false">Сценарии_BEP!$E$9+Сценарии_BEP!$E$14</f>
        <v>1000000</v>
      </c>
    </row>
    <row r="17" customFormat="false" ht="15" hidden="false" customHeight="false" outlineLevel="0" collapsed="false">
      <c r="B17" s="42" t="s">
        <v>365</v>
      </c>
      <c r="C17" s="43"/>
      <c r="D17" s="43"/>
      <c r="E17" s="43"/>
      <c r="F17" s="43"/>
    </row>
    <row r="18" customFormat="false" ht="15" hidden="false" customHeight="false" outlineLevel="0" collapsed="false">
      <c r="B18" s="44" t="s">
        <v>366</v>
      </c>
      <c r="C18" s="50" t="n">
        <f aca="false">IF(N('Входные данные'!$E$52)=1,N('Входные данные'!$E$53)*52/12,IF(N('Входные данные'!$E$52)=2,N('Входные данные'!$E$53),IF(N('Входные данные'!$E$52)=3,1,0)))</f>
        <v>0</v>
      </c>
      <c r="D18" s="50" t="n">
        <f aca="false">IF(N('Входные данные'!$F$52)=1,N('Входные данные'!$F$53)*52/12,IF(N('Входные данные'!$F$52)=2,N('Входные данные'!$F$53),IF(N('Входные данные'!$F$52)=3,1,0)))</f>
        <v>0</v>
      </c>
      <c r="E18" s="50" t="n">
        <f aca="false">IF(N('Входные данные'!$G$52)=1,N('Входные данные'!$G$53)*52/12,IF(N('Входные данные'!$G$52)=2,N('Входные данные'!$G$53),IF(N('Входные данные'!$G$52)=3,1,0)))</f>
        <v>0</v>
      </c>
      <c r="F18" s="46" t="s">
        <v>367</v>
      </c>
    </row>
    <row r="19" customFormat="false" ht="15" hidden="false" customHeight="false" outlineLevel="0" collapsed="false">
      <c r="B19" s="44" t="s">
        <v>368</v>
      </c>
      <c r="C19" s="45" t="n">
        <f aca="false">N('Входные данные'!$E$54)*N('Входные данные'!$E$60)*N('Входные данные'!$E$57)*Сценарии_BEP!$C$18</f>
        <v>0</v>
      </c>
      <c r="D19" s="45" t="n">
        <f aca="false">N('Входные данные'!$F$54)*N('Входные данные'!$F$60)*N('Входные данные'!$F$57)*Сценарии_BEP!$D$18</f>
        <v>0</v>
      </c>
      <c r="E19" s="45" t="n">
        <f aca="false">N('Входные данные'!$G$54)*N('Входные данные'!$G$60)*N('Входные данные'!$G$57)*Сценарии_BEP!$E$18</f>
        <v>0</v>
      </c>
    </row>
    <row r="20" customFormat="false" ht="15" hidden="false" customHeight="false" outlineLevel="0" collapsed="false">
      <c r="B20" s="44" t="s">
        <v>369</v>
      </c>
      <c r="C20" s="45" t="n">
        <f aca="false">N('Входные данные'!$E$55)*N('Входные данные'!$E$61)*N('Входные данные'!$E$58)*Сценарии_BEP!$C$18</f>
        <v>0</v>
      </c>
      <c r="D20" s="45" t="n">
        <f aca="false">N('Входные данные'!$F$55)*N('Входные данные'!$F$61)*N('Входные данные'!$F$58)*Сценарии_BEP!$D$18</f>
        <v>0</v>
      </c>
      <c r="E20" s="45" t="n">
        <f aca="false">N('Входные данные'!$G$55)*N('Входные данные'!$G$61)*N('Входные данные'!$G$58)*Сценарии_BEP!$E$18</f>
        <v>0</v>
      </c>
    </row>
    <row r="21" customFormat="false" ht="15" hidden="false" customHeight="false" outlineLevel="0" collapsed="false">
      <c r="B21" s="44" t="s">
        <v>370</v>
      </c>
      <c r="C21" s="45" t="n">
        <f aca="false">N('Входные данные'!$E$56)*N('Входные данные'!$E$62)*N('Входные данные'!$E$59)*Сценарии_BEP!$C$18</f>
        <v>0</v>
      </c>
      <c r="D21" s="45" t="n">
        <f aca="false">N('Входные данные'!$F$56)*N('Входные данные'!$F$62)*N('Входные данные'!$F$59)*Сценарии_BEP!$D$18</f>
        <v>0</v>
      </c>
      <c r="E21" s="45" t="n">
        <f aca="false">N('Входные данные'!$G$56)*N('Входные данные'!$G$62)*N('Входные данные'!$G$59)*Сценарии_BEP!$E$18</f>
        <v>0</v>
      </c>
    </row>
    <row r="22" customFormat="false" ht="15" hidden="false" customHeight="false" outlineLevel="0" collapsed="false">
      <c r="B22" s="44" t="s">
        <v>371</v>
      </c>
      <c r="C22" s="45" t="n">
        <f aca="false">Сценарии_BEP!$C$19+Сценарии_BEP!$C$20+Сценарии_BEP!$C$21</f>
        <v>0</v>
      </c>
      <c r="D22" s="45" t="n">
        <f aca="false">Сценарии_BEP!$D$19+Сценарии_BEP!$D$20+Сценарии_BEP!$D$21</f>
        <v>0</v>
      </c>
      <c r="E22" s="45" t="n">
        <f aca="false">Сценарии_BEP!$E$19+Сценарии_BEP!$E$20+Сценарии_BEP!$E$21</f>
        <v>0</v>
      </c>
    </row>
    <row r="23" customFormat="false" ht="15" hidden="false" customHeight="false" outlineLevel="0" collapsed="false">
      <c r="B23" s="44" t="s">
        <v>372</v>
      </c>
      <c r="C23" s="45" t="n">
        <f aca="false">N('Входные данные'!$E$64)+N('Входные данные'!$E$65)+N('Входные данные'!$E$66)+N('Входные данные'!$E$67)</f>
        <v>0</v>
      </c>
      <c r="D23" s="45" t="n">
        <f aca="false">N('Входные данные'!$F$64)+N('Входные данные'!$F$65)+N('Входные данные'!$F$66)+N('Входные данные'!$F$67)</f>
        <v>0</v>
      </c>
      <c r="E23" s="45" t="n">
        <f aca="false">N('Входные данные'!$G$64)+N('Входные данные'!$G$65)+N('Входные данные'!$G$66)+N('Входные данные'!$G$67)</f>
        <v>0</v>
      </c>
      <c r="F23" s="46" t="s">
        <v>33</v>
      </c>
    </row>
    <row r="24" customFormat="false" ht="15" hidden="false" customHeight="false" outlineLevel="0" collapsed="false">
      <c r="B24" s="3" t="s">
        <v>373</v>
      </c>
      <c r="C24" s="47" t="n">
        <f aca="false">Сценарии_BEP!$C$22+Сценарии_BEP!$C$23</f>
        <v>0</v>
      </c>
      <c r="D24" s="47" t="n">
        <f aca="false">Сценарии_BEP!$D$22+Сценарии_BEP!$D$23</f>
        <v>0</v>
      </c>
      <c r="E24" s="47" t="n">
        <f aca="false">Сценарии_BEP!$E$22+Сценарии_BEP!$E$23</f>
        <v>0</v>
      </c>
    </row>
    <row r="26" customFormat="false" ht="15" hidden="false" customHeight="false" outlineLevel="0" collapsed="false">
      <c r="B26" s="42" t="s">
        <v>374</v>
      </c>
      <c r="C26" s="43"/>
      <c r="D26" s="43"/>
      <c r="E26" s="43"/>
      <c r="F26" s="43"/>
    </row>
    <row r="27" customFormat="false" ht="15" hidden="false" customHeight="false" outlineLevel="0" collapsed="false">
      <c r="B27" s="44" t="s">
        <v>375</v>
      </c>
      <c r="C27" s="45" t="n">
        <f aca="false">'Юнит-экономика'!$C$32</f>
        <v>300000</v>
      </c>
      <c r="D27" s="45" t="n">
        <f aca="false">'Юнит-экономика'!$D$32</f>
        <v>500000</v>
      </c>
      <c r="E27" s="45" t="n">
        <f aca="false">'Юнит-экономика'!$E$32</f>
        <v>500000</v>
      </c>
    </row>
    <row r="28" customFormat="false" ht="15" hidden="false" customHeight="false" outlineLevel="0" collapsed="false">
      <c r="B28" s="44" t="s">
        <v>376</v>
      </c>
      <c r="C28" s="52" t="n">
        <f aca="false">Воронка!$C$13*Воронка!$C$17</f>
        <v>0.003</v>
      </c>
      <c r="D28" s="52" t="n">
        <f aca="false">Воронка!$D$13*Воронка!$D$17</f>
        <v>0.007</v>
      </c>
      <c r="E28" s="52" t="n">
        <f aca="false">Воронка!$E$13*Воронка!$E$17</f>
        <v>0.0125</v>
      </c>
    </row>
    <row r="29" customFormat="false" ht="15" hidden="false" customHeight="false" outlineLevel="0" collapsed="false">
      <c r="B29" s="44" t="s">
        <v>377</v>
      </c>
      <c r="C29" s="50" t="n">
        <f aca="false">IF(Сценарии_BEP!$C$27&gt;0,Сценарии_BEP!$C$9/Сценарии_BEP!$C$27,"нет БУ: маржа ≤ 0")</f>
        <v>3.33333333333333</v>
      </c>
      <c r="D29" s="50" t="n">
        <f aca="false">IF(Сценарии_BEP!$D$27&gt;0,Сценарии_BEP!$D$9/Сценарии_BEP!$D$27,"нет БУ: маржа ≤ 0")</f>
        <v>2</v>
      </c>
      <c r="E29" s="50" t="n">
        <f aca="false">IF(Сценарии_BEP!$E$27&gt;0,Сценарии_BEP!$E$9/Сценарии_BEP!$E$27,"нет БУ: маржа ≤ 0")</f>
        <v>2</v>
      </c>
      <c r="F29" s="46" t="s">
        <v>378</v>
      </c>
    </row>
    <row r="30" customFormat="false" ht="15" hidden="false" customHeight="false" outlineLevel="0" collapsed="false">
      <c r="B30" s="44" t="s">
        <v>379</v>
      </c>
      <c r="C30" s="50" t="n">
        <f aca="false">IF(Сценарии_BEP!$C$27&gt;0,Сценарии_BEP!$C$15/Сценарии_BEP!$C$27,"нет БУ: маржа ≤ 0")</f>
        <v>3.33333333333333</v>
      </c>
      <c r="D30" s="50" t="n">
        <f aca="false">IF(Сценарии_BEP!$D$27&gt;0,Сценарии_BEP!$D$15/Сценарии_BEP!$D$27,"нет БУ: маржа ≤ 0")</f>
        <v>2</v>
      </c>
      <c r="E30" s="50" t="n">
        <f aca="false">IF(Сценарии_BEP!$E$27&gt;0,Сценарии_BEP!$E$15/Сценарии_BEP!$E$27,"нет БУ: маржа ≤ 0")</f>
        <v>2</v>
      </c>
      <c r="F30" s="46" t="s">
        <v>380</v>
      </c>
    </row>
    <row r="31" customFormat="false" ht="15" hidden="false" customHeight="false" outlineLevel="0" collapsed="false">
      <c r="B31" s="44" t="s">
        <v>381</v>
      </c>
      <c r="C31" s="45" t="n">
        <f aca="false">IF(AND(ISNUMBER(Сценарии_BEP!$C$29),Сценарии_BEP!$C$28&gt;0),Сценарии_BEP!$C$29/Сценарии_BEP!$C$28,"нет БУ")</f>
        <v>1111.11111111111</v>
      </c>
      <c r="D31" s="45" t="n">
        <f aca="false">IF(AND(ISNUMBER(Сценарии_BEP!$D$29),Сценарии_BEP!$D$28&gt;0),Сценарии_BEP!$D$29/Сценарии_BEP!$D$28,"нет БУ")</f>
        <v>285.714285714286</v>
      </c>
      <c r="E31" s="45" t="n">
        <f aca="false">IF(AND(ISNUMBER(Сценарии_BEP!$E$29),Сценарии_BEP!$E$28&gt;0),Сценарии_BEP!$E$29/Сценарии_BEP!$E$28,"нет БУ")</f>
        <v>160</v>
      </c>
    </row>
    <row r="32" customFormat="false" ht="15" hidden="false" customHeight="false" outlineLevel="0" collapsed="false">
      <c r="B32" s="3" t="s">
        <v>382</v>
      </c>
      <c r="C32" s="47" t="n">
        <f aca="false">IF(AND(ISNUMBER(Сценарии_BEP!$C$30),Сценарии_BEP!$C$28&gt;0),Сценарии_BEP!$C$30/Сценарии_BEP!$C$28,"нет БУ")</f>
        <v>1111.11111111111</v>
      </c>
      <c r="D32" s="47" t="n">
        <f aca="false">IF(AND(ISNUMBER(Сценарии_BEP!$D$30),Сценарии_BEP!$D$28&gt;0),Сценарии_BEP!$D$30/Сценарии_BEP!$D$28,"нет БУ")</f>
        <v>285.714285714286</v>
      </c>
      <c r="E32" s="47" t="n">
        <f aca="false">IF(AND(ISNUMBER(Сценарии_BEP!$E$30),Сценарии_BEP!$E$28&gt;0),Сценарии_BEP!$E$30/Сценарии_BEP!$E$28,"нет БУ")</f>
        <v>160</v>
      </c>
    </row>
    <row r="33" customFormat="false" ht="15" hidden="false" customHeight="false" outlineLevel="0" collapsed="false">
      <c r="B33" s="44" t="s">
        <v>383</v>
      </c>
      <c r="C33" s="50" t="n">
        <f aca="false">IF(Сценарии_BEP!$C$27*(1-N('Входные данные'!$E$39))&gt;0,Сценарии_BEP!$C$15/(Сценарии_BEP!$C$27*(1-N('Входные данные'!$E$39))),"нет БУ")</f>
        <v>4.16666666666667</v>
      </c>
      <c r="D33" s="50" t="n">
        <f aca="false">IF(Сценарии_BEP!$D$27*(1-N('Входные данные'!$F$39))&gt;0,Сценарии_BEP!$D$15/(Сценарии_BEP!$D$27*(1-N('Входные данные'!$F$39))),"нет БУ")</f>
        <v>2.5</v>
      </c>
      <c r="E33" s="50" t="n">
        <f aca="false">IF(Сценарии_BEP!$E$27*(1-N('Входные данные'!$G$39))&gt;0,Сценарии_BEP!$E$15/(Сценарии_BEP!$E$27*(1-N('Входные данные'!$G$39))),"нет БУ")</f>
        <v>2.5</v>
      </c>
      <c r="F33" s="46" t="s">
        <v>384</v>
      </c>
    </row>
    <row r="34" customFormat="false" ht="15" hidden="false" customHeight="false" outlineLevel="0" collapsed="false">
      <c r="B34" s="44" t="s">
        <v>385</v>
      </c>
      <c r="C34" s="51" t="n">
        <f aca="false">IF(ISNUMBER(Сценарии_BEP!$C$32),Воронка!$C$6/Сценарии_BEP!$C$32,"н/д")</f>
        <v>0.09</v>
      </c>
      <c r="D34" s="51" t="n">
        <f aca="false">IF(ISNUMBER(Сценарии_BEP!$D$32),Воронка!$D$6/Сценарии_BEP!$D$32,"н/д")</f>
        <v>1.05</v>
      </c>
      <c r="E34" s="51" t="n">
        <f aca="false">IF(ISNUMBER(Сценарии_BEP!$E$32),Воронка!$E$6/Сценарии_BEP!$E$32,"н/д")</f>
        <v>5.625</v>
      </c>
      <c r="F34" s="46" t="s">
        <v>386</v>
      </c>
    </row>
    <row r="35" customFormat="false" ht="15" hidden="false" customHeight="false" outlineLevel="0" collapsed="false">
      <c r="B35" s="44" t="s">
        <v>387</v>
      </c>
      <c r="C35" s="45" t="n">
        <f aca="false">Воронка!$C$20-Сценарии_BEP!$C$9</f>
        <v>-910000</v>
      </c>
      <c r="D35" s="45" t="n">
        <f aca="false">Воронка!$D$20-Сценарии_BEP!$D$9</f>
        <v>50000</v>
      </c>
      <c r="E35" s="45" t="n">
        <f aca="false">Воронка!$E$20-Сценарии_BEP!$E$9</f>
        <v>4625000</v>
      </c>
    </row>
    <row r="36" customFormat="false" ht="15" hidden="false" customHeight="false" outlineLevel="0" collapsed="false">
      <c r="B36" s="3" t="s">
        <v>388</v>
      </c>
      <c r="C36" s="47" t="n">
        <f aca="false">Воронка!$C$20-Сценарии_BEP!$C$15</f>
        <v>-910000</v>
      </c>
      <c r="D36" s="47" t="n">
        <f aca="false">Воронка!$D$20-Сценарии_BEP!$D$15</f>
        <v>50000</v>
      </c>
      <c r="E36" s="47" t="n">
        <f aca="false">Воронка!$E$20-Сценарии_BEP!$E$15</f>
        <v>4625000</v>
      </c>
    </row>
    <row r="37" customFormat="false" ht="15" hidden="false" customHeight="false" outlineLevel="0" collapsed="false">
      <c r="B37" s="44" t="s">
        <v>389</v>
      </c>
      <c r="C37" s="50" t="str">
        <f aca="false">IF(Сценарии_BEP!$C$24&lt;=0,"нет данных о затратах на разработку",IF(Сценарии_BEP!$C$36&gt;0,Сценарии_BEP!$C$24/Сценарии_BEP!$C$36,"не окупается"))</f>
        <v>нет данных о затратах на разработку</v>
      </c>
      <c r="D37" s="50" t="str">
        <f aca="false">IF(Сценарии_BEP!$D$24&lt;=0,"нет данных о затратах на разработку",IF(Сценарии_BEP!$D$36&gt;0,Сценарии_BEP!$D$24/Сценарии_BEP!$D$36,"не окупается"))</f>
        <v>нет данных о затратах на разработку</v>
      </c>
      <c r="E37" s="50" t="str">
        <f aca="false">IF(Сценарии_BEP!$E$24&lt;=0,"нет данных о затратах на разработку",IF(Сценарии_BEP!$E$36&gt;0,Сценарии_BEP!$E$24/Сценарии_BEP!$E$36,"не окупается"))</f>
        <v>нет данных о затратах на разработку</v>
      </c>
      <c r="F37" s="46" t="s">
        <v>390</v>
      </c>
    </row>
    <row r="39" customFormat="false" ht="15" hidden="false" customHeight="false" outlineLevel="0" collapsed="false">
      <c r="B39" s="42" t="s">
        <v>391</v>
      </c>
      <c r="C39" s="43"/>
      <c r="D39" s="43"/>
      <c r="E39" s="43"/>
      <c r="F39" s="43"/>
    </row>
    <row r="40" customFormat="false" ht="15" hidden="false" customHeight="false" outlineLevel="0" collapsed="false">
      <c r="B40" s="44" t="s">
        <v>392</v>
      </c>
      <c r="C40" s="50" t="n">
        <f aca="false">P54</f>
        <v>3.45</v>
      </c>
      <c r="D40" s="50" t="n">
        <f aca="false">P71</f>
        <v>24.15</v>
      </c>
      <c r="E40" s="50" t="n">
        <f aca="false">P88</f>
        <v>129.375</v>
      </c>
    </row>
    <row r="41" customFormat="false" ht="15" hidden="false" customHeight="false" outlineLevel="0" collapsed="false">
      <c r="B41" s="44" t="s">
        <v>393</v>
      </c>
      <c r="C41" s="45" t="n">
        <f aca="false">P56</f>
        <v>1035000</v>
      </c>
      <c r="D41" s="45" t="n">
        <f aca="false">P73</f>
        <v>12075000</v>
      </c>
      <c r="E41" s="45" t="n">
        <f aca="false">P90</f>
        <v>64687500</v>
      </c>
    </row>
    <row r="42" customFormat="false" ht="15" hidden="false" customHeight="false" outlineLevel="0" collapsed="false">
      <c r="B42" s="3" t="s">
        <v>394</v>
      </c>
      <c r="C42" s="47" t="n">
        <f aca="false">P58</f>
        <v>-10965000</v>
      </c>
      <c r="D42" s="47" t="n">
        <f aca="false">P75</f>
        <v>75000</v>
      </c>
      <c r="E42" s="47" t="n">
        <f aca="false">P92</f>
        <v>52687500</v>
      </c>
    </row>
    <row r="43" customFormat="false" ht="15" hidden="false" customHeight="false" outlineLevel="0" collapsed="false">
      <c r="B43" s="3" t="s">
        <v>395</v>
      </c>
      <c r="C43" s="47" t="n">
        <f aca="false">O61</f>
        <v>-10965000</v>
      </c>
      <c r="D43" s="47" t="n">
        <f aca="false">O78</f>
        <v>75000</v>
      </c>
      <c r="E43" s="47" t="n">
        <f aca="false">O95</f>
        <v>52687500</v>
      </c>
    </row>
    <row r="44" customFormat="false" ht="15" hidden="false" customHeight="false" outlineLevel="0" collapsed="false">
      <c r="B44" s="44" t="s">
        <v>396</v>
      </c>
      <c r="C44" s="54" t="str">
        <f aca="false">IF(COUNT(D62:O62)=0,"не окупается за 12 мес",MIN(D62:O62))</f>
        <v>не окупается за 12 мес</v>
      </c>
      <c r="D44" s="54" t="n">
        <f aca="false">IF(COUNT(D79:O79)=0,"не окупается за 12 мес",MIN(D79:O79))</f>
        <v>11</v>
      </c>
      <c r="E44" s="54" t="n">
        <f aca="false">IF(COUNT(D96:O96)=0,"не окупается за 12 мес",MIN(D96:O96))</f>
        <v>1</v>
      </c>
    </row>
    <row r="45" customFormat="false" ht="15" hidden="false" customHeight="false" outlineLevel="0" collapsed="false">
      <c r="B45" s="44" t="s">
        <v>397</v>
      </c>
      <c r="C45" s="54" t="str">
        <f aca="false">IF(COUNT(D63:O63)=0,"не окупается за 12 мес",MIN(D63:O63))</f>
        <v>не окупается за 12 мес</v>
      </c>
      <c r="D45" s="54" t="n">
        <f aca="false">IF(COUNT(D80:O80)=0,"не окупается за 12 мес",MIN(D80:O80))</f>
        <v>11</v>
      </c>
      <c r="E45" s="54" t="n">
        <f aca="false">IF(COUNT(D97:O97)=0,"не окупается за 12 мес",MIN(D97:O97))</f>
        <v>1</v>
      </c>
    </row>
    <row r="46" customFormat="false" ht="15" hidden="false" customHeight="false" outlineLevel="0" collapsed="false">
      <c r="B46" s="2" t="s">
        <v>398</v>
      </c>
    </row>
    <row r="50" customFormat="false" ht="15" hidden="false" customHeight="false" outlineLevel="0" collapsed="false">
      <c r="B50" s="42" t="s">
        <v>399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</row>
    <row r="51" customFormat="false" ht="15" hidden="false" customHeight="false" outlineLevel="0" collapsed="false">
      <c r="B51" s="44" t="s">
        <v>400</v>
      </c>
      <c r="C51" s="3" t="n">
        <v>0</v>
      </c>
      <c r="D51" s="3" t="n">
        <v>1</v>
      </c>
      <c r="E51" s="3" t="n">
        <v>2</v>
      </c>
      <c r="F51" s="3" t="n">
        <v>3</v>
      </c>
      <c r="G51" s="3" t="n">
        <v>4</v>
      </c>
      <c r="H51" s="3" t="n">
        <v>5</v>
      </c>
      <c r="I51" s="3" t="n">
        <v>6</v>
      </c>
      <c r="J51" s="3" t="n">
        <v>7</v>
      </c>
      <c r="K51" s="3" t="n">
        <v>8</v>
      </c>
      <c r="L51" s="3" t="n">
        <v>9</v>
      </c>
      <c r="M51" s="3" t="n">
        <v>10</v>
      </c>
      <c r="N51" s="3" t="n">
        <v>11</v>
      </c>
      <c r="O51" s="3" t="n">
        <v>12</v>
      </c>
      <c r="P51" s="3" t="s">
        <v>401</v>
      </c>
    </row>
    <row r="52" customFormat="false" ht="15" hidden="false" customHeight="false" outlineLevel="0" collapsed="false">
      <c r="B52" s="44" t="s">
        <v>402</v>
      </c>
      <c r="C52" s="55"/>
      <c r="D52" s="55" t="n">
        <f aca="false">IF(N('Входные данные'!$E$47)&lt;=0,1,MIN(1,D51/N('Входные данные'!$E$47)))</f>
        <v>0.5</v>
      </c>
      <c r="E52" s="55" t="n">
        <f aca="false">IF(N('Входные данные'!$E$47)&lt;=0,1,MIN(1,E51/N('Входные данные'!$E$47)))</f>
        <v>1</v>
      </c>
      <c r="F52" s="55" t="n">
        <f aca="false">IF(N('Входные данные'!$E$47)&lt;=0,1,MIN(1,F51/N('Входные данные'!$E$47)))</f>
        <v>1</v>
      </c>
      <c r="G52" s="55" t="n">
        <f aca="false">IF(N('Входные данные'!$E$47)&lt;=0,1,MIN(1,G51/N('Входные данные'!$E$47)))</f>
        <v>1</v>
      </c>
      <c r="H52" s="55" t="n">
        <f aca="false">IF(N('Входные данные'!$E$47)&lt;=0,1,MIN(1,H51/N('Входные данные'!$E$47)))</f>
        <v>1</v>
      </c>
      <c r="I52" s="55" t="n">
        <f aca="false">IF(N('Входные данные'!$E$47)&lt;=0,1,MIN(1,I51/N('Входные данные'!$E$47)))</f>
        <v>1</v>
      </c>
      <c r="J52" s="55" t="n">
        <f aca="false">IF(N('Входные данные'!$E$47)&lt;=0,1,MIN(1,J51/N('Входные данные'!$E$47)))</f>
        <v>1</v>
      </c>
      <c r="K52" s="55" t="n">
        <f aca="false">IF(N('Входные данные'!$E$47)&lt;=0,1,MIN(1,K51/N('Входные данные'!$E$47)))</f>
        <v>1</v>
      </c>
      <c r="L52" s="55" t="n">
        <f aca="false">IF(N('Входные данные'!$E$47)&lt;=0,1,MIN(1,L51/N('Входные данные'!$E$47)))</f>
        <v>1</v>
      </c>
      <c r="M52" s="55" t="n">
        <f aca="false">IF(N('Входные данные'!$E$47)&lt;=0,1,MIN(1,M51/N('Входные данные'!$E$47)))</f>
        <v>1</v>
      </c>
      <c r="N52" s="55" t="n">
        <f aca="false">IF(N('Входные данные'!$E$47)&lt;=0,1,MIN(1,N51/N('Входные данные'!$E$47)))</f>
        <v>1</v>
      </c>
      <c r="O52" s="55" t="n">
        <f aca="false">IF(N('Входные данные'!$E$47)&lt;=0,1,MIN(1,O51/N('Входные данные'!$E$47)))</f>
        <v>1</v>
      </c>
      <c r="P52" s="55"/>
    </row>
    <row r="53" customFormat="false" ht="15" hidden="false" customHeight="false" outlineLevel="0" collapsed="false">
      <c r="B53" s="44" t="s">
        <v>403</v>
      </c>
      <c r="C53" s="56"/>
      <c r="D53" s="56" t="n">
        <f aca="false">Воронка!$C$6*D52</f>
        <v>50</v>
      </c>
      <c r="E53" s="56" t="n">
        <f aca="false">Воронка!$C$6*E52</f>
        <v>100</v>
      </c>
      <c r="F53" s="56" t="n">
        <f aca="false">Воронка!$C$6*F52</f>
        <v>100</v>
      </c>
      <c r="G53" s="56" t="n">
        <f aca="false">Воронка!$C$6*G52</f>
        <v>100</v>
      </c>
      <c r="H53" s="56" t="n">
        <f aca="false">Воронка!$C$6*H52</f>
        <v>100</v>
      </c>
      <c r="I53" s="56" t="n">
        <f aca="false">Воронка!$C$6*I52</f>
        <v>100</v>
      </c>
      <c r="J53" s="56" t="n">
        <f aca="false">Воронка!$C$6*J52</f>
        <v>100</v>
      </c>
      <c r="K53" s="56" t="n">
        <f aca="false">Воронка!$C$6*K52</f>
        <v>100</v>
      </c>
      <c r="L53" s="56" t="n">
        <f aca="false">Воронка!$C$6*L52</f>
        <v>100</v>
      </c>
      <c r="M53" s="56" t="n">
        <f aca="false">Воронка!$C$6*M52</f>
        <v>100</v>
      </c>
      <c r="N53" s="56" t="n">
        <f aca="false">Воронка!$C$6*N52</f>
        <v>100</v>
      </c>
      <c r="O53" s="56" t="n">
        <f aca="false">Воронка!$C$6*O52</f>
        <v>100</v>
      </c>
      <c r="P53" s="56" t="n">
        <f aca="false">SUM(D53:O53)</f>
        <v>1150</v>
      </c>
    </row>
    <row r="54" customFormat="false" ht="15" hidden="false" customHeight="false" outlineLevel="0" collapsed="false">
      <c r="B54" s="44" t="s">
        <v>404</v>
      </c>
      <c r="C54" s="55"/>
      <c r="D54" s="55" t="n">
        <f aca="false">D53*Воронка!$C$13*Воронка!$C$17</f>
        <v>0.15</v>
      </c>
      <c r="E54" s="55" t="n">
        <f aca="false">E53*Воронка!$C$13*Воронка!$C$17</f>
        <v>0.3</v>
      </c>
      <c r="F54" s="55" t="n">
        <f aca="false">F53*Воронка!$C$13*Воронка!$C$17</f>
        <v>0.3</v>
      </c>
      <c r="G54" s="55" t="n">
        <f aca="false">G53*Воронка!$C$13*Воронка!$C$17</f>
        <v>0.3</v>
      </c>
      <c r="H54" s="55" t="n">
        <f aca="false">H53*Воронка!$C$13*Воронка!$C$17</f>
        <v>0.3</v>
      </c>
      <c r="I54" s="55" t="n">
        <f aca="false">I53*Воронка!$C$13*Воронка!$C$17</f>
        <v>0.3</v>
      </c>
      <c r="J54" s="55" t="n">
        <f aca="false">J53*Воронка!$C$13*Воронка!$C$17</f>
        <v>0.3</v>
      </c>
      <c r="K54" s="55" t="n">
        <f aca="false">K53*Воронка!$C$13*Воронка!$C$17</f>
        <v>0.3</v>
      </c>
      <c r="L54" s="55" t="n">
        <f aca="false">L53*Воронка!$C$13*Воронка!$C$17</f>
        <v>0.3</v>
      </c>
      <c r="M54" s="55" t="n">
        <f aca="false">M53*Воронка!$C$13*Воронка!$C$17</f>
        <v>0.3</v>
      </c>
      <c r="N54" s="55" t="n">
        <f aca="false">N53*Воронка!$C$13*Воронка!$C$17</f>
        <v>0.3</v>
      </c>
      <c r="O54" s="55" t="n">
        <f aca="false">O53*Воронка!$C$13*Воронка!$C$17</f>
        <v>0.3</v>
      </c>
      <c r="P54" s="55" t="n">
        <f aca="false">SUM(D54:O54)</f>
        <v>3.45</v>
      </c>
    </row>
    <row r="55" customFormat="false" ht="15" hidden="false" customHeight="false" outlineLevel="0" collapsed="false">
      <c r="B55" s="44" t="s">
        <v>405</v>
      </c>
      <c r="C55" s="56"/>
      <c r="D55" s="56" t="n">
        <f aca="false">D54*'Юнит-экономика'!$C$8</f>
        <v>150000</v>
      </c>
      <c r="E55" s="56" t="n">
        <f aca="false">E54*'Юнит-экономика'!$C$8</f>
        <v>300000</v>
      </c>
      <c r="F55" s="56" t="n">
        <f aca="false">F54*'Юнит-экономика'!$C$8</f>
        <v>300000</v>
      </c>
      <c r="G55" s="56" t="n">
        <f aca="false">G54*'Юнит-экономика'!$C$8</f>
        <v>300000</v>
      </c>
      <c r="H55" s="56" t="n">
        <f aca="false">H54*'Юнит-экономика'!$C$8</f>
        <v>300000</v>
      </c>
      <c r="I55" s="56" t="n">
        <f aca="false">I54*'Юнит-экономика'!$C$8</f>
        <v>300000</v>
      </c>
      <c r="J55" s="56" t="n">
        <f aca="false">J54*'Юнит-экономика'!$C$8</f>
        <v>300000</v>
      </c>
      <c r="K55" s="56" t="n">
        <f aca="false">K54*'Юнит-экономика'!$C$8</f>
        <v>300000</v>
      </c>
      <c r="L55" s="56" t="n">
        <f aca="false">L54*'Юнит-экономика'!$C$8</f>
        <v>300000</v>
      </c>
      <c r="M55" s="56" t="n">
        <f aca="false">M54*'Юнит-экономика'!$C$8</f>
        <v>300000</v>
      </c>
      <c r="N55" s="56" t="n">
        <f aca="false">N54*'Юнит-экономика'!$C$8</f>
        <v>300000</v>
      </c>
      <c r="O55" s="56" t="n">
        <f aca="false">O54*'Юнит-экономика'!$C$8</f>
        <v>300000</v>
      </c>
      <c r="P55" s="56" t="n">
        <f aca="false">SUM(D55:O55)</f>
        <v>3450000</v>
      </c>
    </row>
    <row r="56" customFormat="false" ht="15" hidden="false" customHeight="false" outlineLevel="0" collapsed="false">
      <c r="B56" s="44" t="s">
        <v>406</v>
      </c>
      <c r="C56" s="56"/>
      <c r="D56" s="56" t="n">
        <f aca="false">D54*'Юнит-экономика'!$C$32</f>
        <v>45000</v>
      </c>
      <c r="E56" s="56" t="n">
        <f aca="false">E54*'Юнит-экономика'!$C$32</f>
        <v>90000</v>
      </c>
      <c r="F56" s="56" t="n">
        <f aca="false">F54*'Юнит-экономика'!$C$32</f>
        <v>90000</v>
      </c>
      <c r="G56" s="56" t="n">
        <f aca="false">G54*'Юнит-экономика'!$C$32</f>
        <v>90000</v>
      </c>
      <c r="H56" s="56" t="n">
        <f aca="false">H54*'Юнит-экономика'!$C$32</f>
        <v>90000</v>
      </c>
      <c r="I56" s="56" t="n">
        <f aca="false">I54*'Юнит-экономика'!$C$32</f>
        <v>90000</v>
      </c>
      <c r="J56" s="56" t="n">
        <f aca="false">J54*'Юнит-экономика'!$C$32</f>
        <v>90000</v>
      </c>
      <c r="K56" s="56" t="n">
        <f aca="false">K54*'Юнит-экономика'!$C$32</f>
        <v>90000</v>
      </c>
      <c r="L56" s="56" t="n">
        <f aca="false">L54*'Юнит-экономика'!$C$32</f>
        <v>90000</v>
      </c>
      <c r="M56" s="56" t="n">
        <f aca="false">M54*'Юнит-экономика'!$C$32</f>
        <v>90000</v>
      </c>
      <c r="N56" s="56" t="n">
        <f aca="false">N54*'Юнит-экономика'!$C$32</f>
        <v>90000</v>
      </c>
      <c r="O56" s="56" t="n">
        <f aca="false">O54*'Юнит-экономика'!$C$32</f>
        <v>90000</v>
      </c>
      <c r="P56" s="56" t="n">
        <f aca="false">SUM(D56:O56)</f>
        <v>1035000</v>
      </c>
    </row>
    <row r="57" customFormat="false" ht="15" hidden="false" customHeight="false" outlineLevel="0" collapsed="false">
      <c r="B57" s="44" t="s">
        <v>407</v>
      </c>
      <c r="C57" s="56"/>
      <c r="D57" s="56" t="n">
        <f aca="false">Сценарии_BEP!$C$15</f>
        <v>1000000</v>
      </c>
      <c r="E57" s="56" t="n">
        <f aca="false">Сценарии_BEP!$C$15</f>
        <v>1000000</v>
      </c>
      <c r="F57" s="56" t="n">
        <f aca="false">Сценарии_BEP!$C$15</f>
        <v>1000000</v>
      </c>
      <c r="G57" s="56" t="n">
        <f aca="false">Сценарии_BEP!$C$15</f>
        <v>1000000</v>
      </c>
      <c r="H57" s="56" t="n">
        <f aca="false">Сценарии_BEP!$C$15</f>
        <v>1000000</v>
      </c>
      <c r="I57" s="56" t="n">
        <f aca="false">Сценарии_BEP!$C$15</f>
        <v>1000000</v>
      </c>
      <c r="J57" s="56" t="n">
        <f aca="false">Сценарии_BEP!$C$15</f>
        <v>1000000</v>
      </c>
      <c r="K57" s="56" t="n">
        <f aca="false">Сценарии_BEP!$C$15</f>
        <v>1000000</v>
      </c>
      <c r="L57" s="56" t="n">
        <f aca="false">Сценарии_BEP!$C$15</f>
        <v>1000000</v>
      </c>
      <c r="M57" s="56" t="n">
        <f aca="false">Сценарии_BEP!$C$15</f>
        <v>1000000</v>
      </c>
      <c r="N57" s="56" t="n">
        <f aca="false">Сценарии_BEP!$C$15</f>
        <v>1000000</v>
      </c>
      <c r="O57" s="56" t="n">
        <f aca="false">Сценарии_BEP!$C$15</f>
        <v>1000000</v>
      </c>
      <c r="P57" s="56" t="n">
        <f aca="false">SUM(D57:O57)</f>
        <v>12000000</v>
      </c>
    </row>
    <row r="58" customFormat="false" ht="15" hidden="false" customHeight="false" outlineLevel="0" collapsed="false">
      <c r="B58" s="3" t="s">
        <v>408</v>
      </c>
      <c r="C58" s="57"/>
      <c r="D58" s="57" t="n">
        <f aca="false">D56-D57</f>
        <v>-955000</v>
      </c>
      <c r="E58" s="57" t="n">
        <f aca="false">E56-E57</f>
        <v>-910000</v>
      </c>
      <c r="F58" s="57" t="n">
        <f aca="false">F56-F57</f>
        <v>-910000</v>
      </c>
      <c r="G58" s="57" t="n">
        <f aca="false">G56-G57</f>
        <v>-910000</v>
      </c>
      <c r="H58" s="57" t="n">
        <f aca="false">H56-H57</f>
        <v>-910000</v>
      </c>
      <c r="I58" s="57" t="n">
        <f aca="false">I56-I57</f>
        <v>-910000</v>
      </c>
      <c r="J58" s="57" t="n">
        <f aca="false">J56-J57</f>
        <v>-910000</v>
      </c>
      <c r="K58" s="57" t="n">
        <f aca="false">K56-K57</f>
        <v>-910000</v>
      </c>
      <c r="L58" s="57" t="n">
        <f aca="false">L56-L57</f>
        <v>-910000</v>
      </c>
      <c r="M58" s="57" t="n">
        <f aca="false">M56-M57</f>
        <v>-910000</v>
      </c>
      <c r="N58" s="57" t="n">
        <f aca="false">N56-N57</f>
        <v>-910000</v>
      </c>
      <c r="O58" s="57" t="n">
        <f aca="false">O56-O57</f>
        <v>-910000</v>
      </c>
      <c r="P58" s="57" t="n">
        <f aca="false">SUM(D58:O58)</f>
        <v>-10965000</v>
      </c>
    </row>
    <row r="59" customFormat="false" ht="15" hidden="false" customHeight="false" outlineLevel="0" collapsed="false">
      <c r="B59" s="44" t="s">
        <v>409</v>
      </c>
      <c r="C59" s="56" t="n">
        <v>0</v>
      </c>
      <c r="D59" s="56" t="n">
        <f aca="false">C59+D58</f>
        <v>-955000</v>
      </c>
      <c r="E59" s="56" t="n">
        <f aca="false">D59+E58</f>
        <v>-1865000</v>
      </c>
      <c r="F59" s="56" t="n">
        <f aca="false">E59+F58</f>
        <v>-2775000</v>
      </c>
      <c r="G59" s="56" t="n">
        <f aca="false">F59+G58</f>
        <v>-3685000</v>
      </c>
      <c r="H59" s="56" t="n">
        <f aca="false">G59+H58</f>
        <v>-4595000</v>
      </c>
      <c r="I59" s="56" t="n">
        <f aca="false">H59+I58</f>
        <v>-5505000</v>
      </c>
      <c r="J59" s="56" t="n">
        <f aca="false">I59+J58</f>
        <v>-6415000</v>
      </c>
      <c r="K59" s="56" t="n">
        <f aca="false">J59+K58</f>
        <v>-7325000</v>
      </c>
      <c r="L59" s="56" t="n">
        <f aca="false">K59+L58</f>
        <v>-8235000</v>
      </c>
      <c r="M59" s="56" t="n">
        <f aca="false">L59+M58</f>
        <v>-9145000</v>
      </c>
      <c r="N59" s="56" t="n">
        <f aca="false">M59+N58</f>
        <v>-10055000</v>
      </c>
      <c r="O59" s="56" t="n">
        <f aca="false">N59+O58</f>
        <v>-10965000</v>
      </c>
      <c r="P59" s="56"/>
    </row>
    <row r="60" customFormat="false" ht="15" hidden="false" customHeight="false" outlineLevel="0" collapsed="false">
      <c r="B60" s="44" t="s">
        <v>410</v>
      </c>
      <c r="C60" s="56" t="n">
        <f aca="false">-Сценарии_BEP!$C$24</f>
        <v>-0</v>
      </c>
      <c r="D60" s="56" t="n">
        <v>0</v>
      </c>
      <c r="E60" s="56" t="n">
        <v>0</v>
      </c>
      <c r="F60" s="56" t="n">
        <v>0</v>
      </c>
      <c r="G60" s="56" t="n">
        <v>0</v>
      </c>
      <c r="H60" s="56" t="n">
        <v>0</v>
      </c>
      <c r="I60" s="56" t="n">
        <v>0</v>
      </c>
      <c r="J60" s="56" t="n">
        <v>0</v>
      </c>
      <c r="K60" s="56" t="n">
        <v>0</v>
      </c>
      <c r="L60" s="56" t="n">
        <v>0</v>
      </c>
      <c r="M60" s="56" t="n">
        <v>0</v>
      </c>
      <c r="N60" s="56" t="n">
        <v>0</v>
      </c>
      <c r="O60" s="56" t="n">
        <v>0</v>
      </c>
      <c r="P60" s="56" t="n">
        <f aca="false">C60</f>
        <v>-0</v>
      </c>
    </row>
    <row r="61" customFormat="false" ht="15" hidden="false" customHeight="false" outlineLevel="0" collapsed="false">
      <c r="B61" s="3" t="s">
        <v>411</v>
      </c>
      <c r="C61" s="57" t="n">
        <f aca="false">C60</f>
        <v>-0</v>
      </c>
      <c r="D61" s="57" t="n">
        <f aca="false">C61+D58+D60</f>
        <v>-955000</v>
      </c>
      <c r="E61" s="57" t="n">
        <f aca="false">D61+E58+E60</f>
        <v>-1865000</v>
      </c>
      <c r="F61" s="57" t="n">
        <f aca="false">E61+F58+F60</f>
        <v>-2775000</v>
      </c>
      <c r="G61" s="57" t="n">
        <f aca="false">F61+G58+G60</f>
        <v>-3685000</v>
      </c>
      <c r="H61" s="57" t="n">
        <f aca="false">G61+H58+H60</f>
        <v>-4595000</v>
      </c>
      <c r="I61" s="57" t="n">
        <f aca="false">H61+I58+I60</f>
        <v>-5505000</v>
      </c>
      <c r="J61" s="57" t="n">
        <f aca="false">I61+J58+J60</f>
        <v>-6415000</v>
      </c>
      <c r="K61" s="57" t="n">
        <f aca="false">J61+K58+K60</f>
        <v>-7325000</v>
      </c>
      <c r="L61" s="57" t="n">
        <f aca="false">K61+L58+L60</f>
        <v>-8235000</v>
      </c>
      <c r="M61" s="57" t="n">
        <f aca="false">L61+M58+M60</f>
        <v>-9145000</v>
      </c>
      <c r="N61" s="57" t="n">
        <f aca="false">M61+N58+N60</f>
        <v>-10055000</v>
      </c>
      <c r="O61" s="57" t="n">
        <f aca="false">N61+O58+O60</f>
        <v>-10965000</v>
      </c>
      <c r="P61" s="57"/>
    </row>
    <row r="62" customFormat="false" ht="15" hidden="false" customHeight="false" outlineLevel="0" collapsed="false">
      <c r="B62" s="44" t="s">
        <v>412</v>
      </c>
      <c r="C62" s="56"/>
      <c r="D62" s="56" t="str">
        <f aca="false">IF(D59&gt;=0,D51,"")</f>
        <v/>
      </c>
      <c r="E62" s="56" t="str">
        <f aca="false">IF(E59&gt;=0,E51,"")</f>
        <v/>
      </c>
      <c r="F62" s="56" t="str">
        <f aca="false">IF(F59&gt;=0,F51,"")</f>
        <v/>
      </c>
      <c r="G62" s="56" t="str">
        <f aca="false">IF(G59&gt;=0,G51,"")</f>
        <v/>
      </c>
      <c r="H62" s="56" t="str">
        <f aca="false">IF(H59&gt;=0,H51,"")</f>
        <v/>
      </c>
      <c r="I62" s="56" t="str">
        <f aca="false">IF(I59&gt;=0,I51,"")</f>
        <v/>
      </c>
      <c r="J62" s="56" t="str">
        <f aca="false">IF(J59&gt;=0,J51,"")</f>
        <v/>
      </c>
      <c r="K62" s="56" t="str">
        <f aca="false">IF(K59&gt;=0,K51,"")</f>
        <v/>
      </c>
      <c r="L62" s="56" t="str">
        <f aca="false">IF(L59&gt;=0,L51,"")</f>
        <v/>
      </c>
      <c r="M62" s="56" t="str">
        <f aca="false">IF(M59&gt;=0,M51,"")</f>
        <v/>
      </c>
      <c r="N62" s="56" t="str">
        <f aca="false">IF(N59&gt;=0,N51,"")</f>
        <v/>
      </c>
      <c r="O62" s="56" t="str">
        <f aca="false">IF(O59&gt;=0,O51,"")</f>
        <v/>
      </c>
      <c r="P62" s="56"/>
    </row>
    <row r="63" customFormat="false" ht="15" hidden="false" customHeight="false" outlineLevel="0" collapsed="false">
      <c r="B63" s="44" t="s">
        <v>413</v>
      </c>
      <c r="C63" s="56"/>
      <c r="D63" s="56" t="str">
        <f aca="false">IF(D61&gt;=0,D51,"")</f>
        <v/>
      </c>
      <c r="E63" s="56" t="str">
        <f aca="false">IF(E61&gt;=0,E51,"")</f>
        <v/>
      </c>
      <c r="F63" s="56" t="str">
        <f aca="false">IF(F61&gt;=0,F51,"")</f>
        <v/>
      </c>
      <c r="G63" s="56" t="str">
        <f aca="false">IF(G61&gt;=0,G51,"")</f>
        <v/>
      </c>
      <c r="H63" s="56" t="str">
        <f aca="false">IF(H61&gt;=0,H51,"")</f>
        <v/>
      </c>
      <c r="I63" s="56" t="str">
        <f aca="false">IF(I61&gt;=0,I51,"")</f>
        <v/>
      </c>
      <c r="J63" s="56" t="str">
        <f aca="false">IF(J61&gt;=0,J51,"")</f>
        <v/>
      </c>
      <c r="K63" s="56" t="str">
        <f aca="false">IF(K61&gt;=0,K51,"")</f>
        <v/>
      </c>
      <c r="L63" s="56" t="str">
        <f aca="false">IF(L61&gt;=0,L51,"")</f>
        <v/>
      </c>
      <c r="M63" s="56" t="str">
        <f aca="false">IF(M61&gt;=0,M51,"")</f>
        <v/>
      </c>
      <c r="N63" s="56" t="str">
        <f aca="false">IF(N61&gt;=0,N51,"")</f>
        <v/>
      </c>
      <c r="O63" s="56" t="str">
        <f aca="false">IF(O61&gt;=0,O51,"")</f>
        <v/>
      </c>
      <c r="P63" s="56"/>
    </row>
    <row r="67" customFormat="false" ht="15" hidden="false" customHeight="false" outlineLevel="0" collapsed="false">
      <c r="B67" s="42" t="s">
        <v>414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</row>
    <row r="68" customFormat="false" ht="15" hidden="false" customHeight="false" outlineLevel="0" collapsed="false">
      <c r="B68" s="44" t="s">
        <v>400</v>
      </c>
      <c r="C68" s="3" t="n">
        <v>0</v>
      </c>
      <c r="D68" s="3" t="n">
        <v>1</v>
      </c>
      <c r="E68" s="3" t="n">
        <v>2</v>
      </c>
      <c r="F68" s="3" t="n">
        <v>3</v>
      </c>
      <c r="G68" s="3" t="n">
        <v>4</v>
      </c>
      <c r="H68" s="3" t="n">
        <v>5</v>
      </c>
      <c r="I68" s="3" t="n">
        <v>6</v>
      </c>
      <c r="J68" s="3" t="n">
        <v>7</v>
      </c>
      <c r="K68" s="3" t="n">
        <v>8</v>
      </c>
      <c r="L68" s="3" t="n">
        <v>9</v>
      </c>
      <c r="M68" s="3" t="n">
        <v>10</v>
      </c>
      <c r="N68" s="3" t="n">
        <v>11</v>
      </c>
      <c r="O68" s="3" t="n">
        <v>12</v>
      </c>
      <c r="P68" s="3" t="s">
        <v>401</v>
      </c>
    </row>
    <row r="69" customFormat="false" ht="15" hidden="false" customHeight="false" outlineLevel="0" collapsed="false">
      <c r="B69" s="44" t="s">
        <v>402</v>
      </c>
      <c r="C69" s="55"/>
      <c r="D69" s="55" t="n">
        <f aca="false">IF(N('Входные данные'!$F$47)&lt;=0,1,MIN(1,D68/N('Входные данные'!$F$47)))</f>
        <v>0.5</v>
      </c>
      <c r="E69" s="55" t="n">
        <f aca="false">IF(N('Входные данные'!$F$47)&lt;=0,1,MIN(1,E68/N('Входные данные'!$F$47)))</f>
        <v>1</v>
      </c>
      <c r="F69" s="55" t="n">
        <f aca="false">IF(N('Входные данные'!$F$47)&lt;=0,1,MIN(1,F68/N('Входные данные'!$F$47)))</f>
        <v>1</v>
      </c>
      <c r="G69" s="55" t="n">
        <f aca="false">IF(N('Входные данные'!$F$47)&lt;=0,1,MIN(1,G68/N('Входные данные'!$F$47)))</f>
        <v>1</v>
      </c>
      <c r="H69" s="55" t="n">
        <f aca="false">IF(N('Входные данные'!$F$47)&lt;=0,1,MIN(1,H68/N('Входные данные'!$F$47)))</f>
        <v>1</v>
      </c>
      <c r="I69" s="55" t="n">
        <f aca="false">IF(N('Входные данные'!$F$47)&lt;=0,1,MIN(1,I68/N('Входные данные'!$F$47)))</f>
        <v>1</v>
      </c>
      <c r="J69" s="55" t="n">
        <f aca="false">IF(N('Входные данные'!$F$47)&lt;=0,1,MIN(1,J68/N('Входные данные'!$F$47)))</f>
        <v>1</v>
      </c>
      <c r="K69" s="55" t="n">
        <f aca="false">IF(N('Входные данные'!$F$47)&lt;=0,1,MIN(1,K68/N('Входные данные'!$F$47)))</f>
        <v>1</v>
      </c>
      <c r="L69" s="55" t="n">
        <f aca="false">IF(N('Входные данные'!$F$47)&lt;=0,1,MIN(1,L68/N('Входные данные'!$F$47)))</f>
        <v>1</v>
      </c>
      <c r="M69" s="55" t="n">
        <f aca="false">IF(N('Входные данные'!$F$47)&lt;=0,1,MIN(1,M68/N('Входные данные'!$F$47)))</f>
        <v>1</v>
      </c>
      <c r="N69" s="55" t="n">
        <f aca="false">IF(N('Входные данные'!$F$47)&lt;=0,1,MIN(1,N68/N('Входные данные'!$F$47)))</f>
        <v>1</v>
      </c>
      <c r="O69" s="55" t="n">
        <f aca="false">IF(N('Входные данные'!$F$47)&lt;=0,1,MIN(1,O68/N('Входные данные'!$F$47)))</f>
        <v>1</v>
      </c>
      <c r="P69" s="55"/>
    </row>
    <row r="70" customFormat="false" ht="15" hidden="false" customHeight="false" outlineLevel="0" collapsed="false">
      <c r="B70" s="44" t="s">
        <v>403</v>
      </c>
      <c r="C70" s="56"/>
      <c r="D70" s="56" t="n">
        <f aca="false">Воронка!$D$6*D69</f>
        <v>150</v>
      </c>
      <c r="E70" s="56" t="n">
        <f aca="false">Воронка!$D$6*E69</f>
        <v>300</v>
      </c>
      <c r="F70" s="56" t="n">
        <f aca="false">Воронка!$D$6*F69</f>
        <v>300</v>
      </c>
      <c r="G70" s="56" t="n">
        <f aca="false">Воронка!$D$6*G69</f>
        <v>300</v>
      </c>
      <c r="H70" s="56" t="n">
        <f aca="false">Воронка!$D$6*H69</f>
        <v>300</v>
      </c>
      <c r="I70" s="56" t="n">
        <f aca="false">Воронка!$D$6*I69</f>
        <v>300</v>
      </c>
      <c r="J70" s="56" t="n">
        <f aca="false">Воронка!$D$6*J69</f>
        <v>300</v>
      </c>
      <c r="K70" s="56" t="n">
        <f aca="false">Воронка!$D$6*K69</f>
        <v>300</v>
      </c>
      <c r="L70" s="56" t="n">
        <f aca="false">Воронка!$D$6*L69</f>
        <v>300</v>
      </c>
      <c r="M70" s="56" t="n">
        <f aca="false">Воронка!$D$6*M69</f>
        <v>300</v>
      </c>
      <c r="N70" s="56" t="n">
        <f aca="false">Воронка!$D$6*N69</f>
        <v>300</v>
      </c>
      <c r="O70" s="56" t="n">
        <f aca="false">Воронка!$D$6*O69</f>
        <v>300</v>
      </c>
      <c r="P70" s="56" t="n">
        <f aca="false">SUM(D70:O70)</f>
        <v>3450</v>
      </c>
    </row>
    <row r="71" customFormat="false" ht="15" hidden="false" customHeight="false" outlineLevel="0" collapsed="false">
      <c r="B71" s="44" t="s">
        <v>404</v>
      </c>
      <c r="C71" s="55"/>
      <c r="D71" s="55" t="n">
        <f aca="false">D70*Воронка!$D$13*Воронка!$D$17</f>
        <v>1.05</v>
      </c>
      <c r="E71" s="55" t="n">
        <f aca="false">E70*Воронка!$D$13*Воронка!$D$17</f>
        <v>2.1</v>
      </c>
      <c r="F71" s="55" t="n">
        <f aca="false">F70*Воронка!$D$13*Воронка!$D$17</f>
        <v>2.1</v>
      </c>
      <c r="G71" s="55" t="n">
        <f aca="false">G70*Воронка!$D$13*Воронка!$D$17</f>
        <v>2.1</v>
      </c>
      <c r="H71" s="55" t="n">
        <f aca="false">H70*Воронка!$D$13*Воронка!$D$17</f>
        <v>2.1</v>
      </c>
      <c r="I71" s="55" t="n">
        <f aca="false">I70*Воронка!$D$13*Воронка!$D$17</f>
        <v>2.1</v>
      </c>
      <c r="J71" s="55" t="n">
        <f aca="false">J70*Воронка!$D$13*Воронка!$D$17</f>
        <v>2.1</v>
      </c>
      <c r="K71" s="55" t="n">
        <f aca="false">K70*Воронка!$D$13*Воронка!$D$17</f>
        <v>2.1</v>
      </c>
      <c r="L71" s="55" t="n">
        <f aca="false">L70*Воронка!$D$13*Воронка!$D$17</f>
        <v>2.1</v>
      </c>
      <c r="M71" s="55" t="n">
        <f aca="false">M70*Воронка!$D$13*Воронка!$D$17</f>
        <v>2.1</v>
      </c>
      <c r="N71" s="55" t="n">
        <f aca="false">N70*Воронка!$D$13*Воронка!$D$17</f>
        <v>2.1</v>
      </c>
      <c r="O71" s="55" t="n">
        <f aca="false">O70*Воронка!$D$13*Воронка!$D$17</f>
        <v>2.1</v>
      </c>
      <c r="P71" s="55" t="n">
        <f aca="false">SUM(D71:O71)</f>
        <v>24.15</v>
      </c>
    </row>
    <row r="72" customFormat="false" ht="15" hidden="false" customHeight="false" outlineLevel="0" collapsed="false">
      <c r="B72" s="44" t="s">
        <v>405</v>
      </c>
      <c r="C72" s="56"/>
      <c r="D72" s="56" t="n">
        <f aca="false">D71*'Юнит-экономика'!$D$8</f>
        <v>1050000</v>
      </c>
      <c r="E72" s="56" t="n">
        <f aca="false">E71*'Юнит-экономика'!$D$8</f>
        <v>2100000</v>
      </c>
      <c r="F72" s="56" t="n">
        <f aca="false">F71*'Юнит-экономика'!$D$8</f>
        <v>2100000</v>
      </c>
      <c r="G72" s="56" t="n">
        <f aca="false">G71*'Юнит-экономика'!$D$8</f>
        <v>2100000</v>
      </c>
      <c r="H72" s="56" t="n">
        <f aca="false">H71*'Юнит-экономика'!$D$8</f>
        <v>2100000</v>
      </c>
      <c r="I72" s="56" t="n">
        <f aca="false">I71*'Юнит-экономика'!$D$8</f>
        <v>2100000</v>
      </c>
      <c r="J72" s="56" t="n">
        <f aca="false">J71*'Юнит-экономика'!$D$8</f>
        <v>2100000</v>
      </c>
      <c r="K72" s="56" t="n">
        <f aca="false">K71*'Юнит-экономика'!$D$8</f>
        <v>2100000</v>
      </c>
      <c r="L72" s="56" t="n">
        <f aca="false">L71*'Юнит-экономика'!$D$8</f>
        <v>2100000</v>
      </c>
      <c r="M72" s="56" t="n">
        <f aca="false">M71*'Юнит-экономика'!$D$8</f>
        <v>2100000</v>
      </c>
      <c r="N72" s="56" t="n">
        <f aca="false">N71*'Юнит-экономика'!$D$8</f>
        <v>2100000</v>
      </c>
      <c r="O72" s="56" t="n">
        <f aca="false">O71*'Юнит-экономика'!$D$8</f>
        <v>2100000</v>
      </c>
      <c r="P72" s="56" t="n">
        <f aca="false">SUM(D72:O72)</f>
        <v>24150000</v>
      </c>
    </row>
    <row r="73" customFormat="false" ht="15" hidden="false" customHeight="false" outlineLevel="0" collapsed="false">
      <c r="B73" s="44" t="s">
        <v>406</v>
      </c>
      <c r="C73" s="56"/>
      <c r="D73" s="56" t="n">
        <f aca="false">D71*'Юнит-экономика'!$D$32</f>
        <v>525000</v>
      </c>
      <c r="E73" s="56" t="n">
        <f aca="false">E71*'Юнит-экономика'!$D$32</f>
        <v>1050000</v>
      </c>
      <c r="F73" s="56" t="n">
        <f aca="false">F71*'Юнит-экономика'!$D$32</f>
        <v>1050000</v>
      </c>
      <c r="G73" s="56" t="n">
        <f aca="false">G71*'Юнит-экономика'!$D$32</f>
        <v>1050000</v>
      </c>
      <c r="H73" s="56" t="n">
        <f aca="false">H71*'Юнит-экономика'!$D$32</f>
        <v>1050000</v>
      </c>
      <c r="I73" s="56" t="n">
        <f aca="false">I71*'Юнит-экономика'!$D$32</f>
        <v>1050000</v>
      </c>
      <c r="J73" s="56" t="n">
        <f aca="false">J71*'Юнит-экономика'!$D$32</f>
        <v>1050000</v>
      </c>
      <c r="K73" s="56" t="n">
        <f aca="false">K71*'Юнит-экономика'!$D$32</f>
        <v>1050000</v>
      </c>
      <c r="L73" s="56" t="n">
        <f aca="false">L71*'Юнит-экономика'!$D$32</f>
        <v>1050000</v>
      </c>
      <c r="M73" s="56" t="n">
        <f aca="false">M71*'Юнит-экономика'!$D$32</f>
        <v>1050000</v>
      </c>
      <c r="N73" s="56" t="n">
        <f aca="false">N71*'Юнит-экономика'!$D$32</f>
        <v>1050000</v>
      </c>
      <c r="O73" s="56" t="n">
        <f aca="false">O71*'Юнит-экономика'!$D$32</f>
        <v>1050000</v>
      </c>
      <c r="P73" s="56" t="n">
        <f aca="false">SUM(D73:O73)</f>
        <v>12075000</v>
      </c>
    </row>
    <row r="74" customFormat="false" ht="15" hidden="false" customHeight="false" outlineLevel="0" collapsed="false">
      <c r="B74" s="44" t="s">
        <v>407</v>
      </c>
      <c r="C74" s="56"/>
      <c r="D74" s="56" t="n">
        <f aca="false">Сценарии_BEP!$D$15</f>
        <v>1000000</v>
      </c>
      <c r="E74" s="56" t="n">
        <f aca="false">Сценарии_BEP!$D$15</f>
        <v>1000000</v>
      </c>
      <c r="F74" s="56" t="n">
        <f aca="false">Сценарии_BEP!$D$15</f>
        <v>1000000</v>
      </c>
      <c r="G74" s="56" t="n">
        <f aca="false">Сценарии_BEP!$D$15</f>
        <v>1000000</v>
      </c>
      <c r="H74" s="56" t="n">
        <f aca="false">Сценарии_BEP!$D$15</f>
        <v>1000000</v>
      </c>
      <c r="I74" s="56" t="n">
        <f aca="false">Сценарии_BEP!$D$15</f>
        <v>1000000</v>
      </c>
      <c r="J74" s="56" t="n">
        <f aca="false">Сценарии_BEP!$D$15</f>
        <v>1000000</v>
      </c>
      <c r="K74" s="56" t="n">
        <f aca="false">Сценарии_BEP!$D$15</f>
        <v>1000000</v>
      </c>
      <c r="L74" s="56" t="n">
        <f aca="false">Сценарии_BEP!$D$15</f>
        <v>1000000</v>
      </c>
      <c r="M74" s="56" t="n">
        <f aca="false">Сценарии_BEP!$D$15</f>
        <v>1000000</v>
      </c>
      <c r="N74" s="56" t="n">
        <f aca="false">Сценарии_BEP!$D$15</f>
        <v>1000000</v>
      </c>
      <c r="O74" s="56" t="n">
        <f aca="false">Сценарии_BEP!$D$15</f>
        <v>1000000</v>
      </c>
      <c r="P74" s="56" t="n">
        <f aca="false">SUM(D74:O74)</f>
        <v>12000000</v>
      </c>
    </row>
    <row r="75" customFormat="false" ht="15" hidden="false" customHeight="false" outlineLevel="0" collapsed="false">
      <c r="B75" s="3" t="s">
        <v>408</v>
      </c>
      <c r="C75" s="57"/>
      <c r="D75" s="57" t="n">
        <f aca="false">D73-D74</f>
        <v>-475000</v>
      </c>
      <c r="E75" s="57" t="n">
        <f aca="false">E73-E74</f>
        <v>50000</v>
      </c>
      <c r="F75" s="57" t="n">
        <f aca="false">F73-F74</f>
        <v>50000</v>
      </c>
      <c r="G75" s="57" t="n">
        <f aca="false">G73-G74</f>
        <v>50000</v>
      </c>
      <c r="H75" s="57" t="n">
        <f aca="false">H73-H74</f>
        <v>50000</v>
      </c>
      <c r="I75" s="57" t="n">
        <f aca="false">I73-I74</f>
        <v>50000</v>
      </c>
      <c r="J75" s="57" t="n">
        <f aca="false">J73-J74</f>
        <v>50000</v>
      </c>
      <c r="K75" s="57" t="n">
        <f aca="false">K73-K74</f>
        <v>50000</v>
      </c>
      <c r="L75" s="57" t="n">
        <f aca="false">L73-L74</f>
        <v>50000</v>
      </c>
      <c r="M75" s="57" t="n">
        <f aca="false">M73-M74</f>
        <v>50000</v>
      </c>
      <c r="N75" s="57" t="n">
        <f aca="false">N73-N74</f>
        <v>50000</v>
      </c>
      <c r="O75" s="57" t="n">
        <f aca="false">O73-O74</f>
        <v>50000</v>
      </c>
      <c r="P75" s="57" t="n">
        <f aca="false">SUM(D75:O75)</f>
        <v>75000</v>
      </c>
    </row>
    <row r="76" customFormat="false" ht="15" hidden="false" customHeight="false" outlineLevel="0" collapsed="false">
      <c r="B76" s="44" t="s">
        <v>409</v>
      </c>
      <c r="C76" s="56" t="n">
        <v>0</v>
      </c>
      <c r="D76" s="56" t="n">
        <f aca="false">C76+D75</f>
        <v>-475000</v>
      </c>
      <c r="E76" s="56" t="n">
        <f aca="false">D76+E75</f>
        <v>-425000</v>
      </c>
      <c r="F76" s="56" t="n">
        <f aca="false">E76+F75</f>
        <v>-375000</v>
      </c>
      <c r="G76" s="56" t="n">
        <f aca="false">F76+G75</f>
        <v>-325000</v>
      </c>
      <c r="H76" s="56" t="n">
        <f aca="false">G76+H75</f>
        <v>-275000</v>
      </c>
      <c r="I76" s="56" t="n">
        <f aca="false">H76+I75</f>
        <v>-225000</v>
      </c>
      <c r="J76" s="56" t="n">
        <f aca="false">I76+J75</f>
        <v>-175000</v>
      </c>
      <c r="K76" s="56" t="n">
        <f aca="false">J76+K75</f>
        <v>-125000</v>
      </c>
      <c r="L76" s="56" t="n">
        <f aca="false">K76+L75</f>
        <v>-75000</v>
      </c>
      <c r="M76" s="56" t="n">
        <f aca="false">L76+M75</f>
        <v>-25000</v>
      </c>
      <c r="N76" s="56" t="n">
        <f aca="false">M76+N75</f>
        <v>25000</v>
      </c>
      <c r="O76" s="56" t="n">
        <f aca="false">N76+O75</f>
        <v>75000</v>
      </c>
      <c r="P76" s="56"/>
    </row>
    <row r="77" customFormat="false" ht="15" hidden="false" customHeight="false" outlineLevel="0" collapsed="false">
      <c r="B77" s="44" t="s">
        <v>410</v>
      </c>
      <c r="C77" s="56" t="n">
        <f aca="false">-Сценарии_BEP!$D$24</f>
        <v>-0</v>
      </c>
      <c r="D77" s="56" t="n">
        <v>0</v>
      </c>
      <c r="E77" s="56" t="n">
        <v>0</v>
      </c>
      <c r="F77" s="56" t="n">
        <v>0</v>
      </c>
      <c r="G77" s="56" t="n">
        <v>0</v>
      </c>
      <c r="H77" s="56" t="n">
        <v>0</v>
      </c>
      <c r="I77" s="56" t="n">
        <v>0</v>
      </c>
      <c r="J77" s="56" t="n">
        <v>0</v>
      </c>
      <c r="K77" s="56" t="n">
        <v>0</v>
      </c>
      <c r="L77" s="56" t="n">
        <v>0</v>
      </c>
      <c r="M77" s="56" t="n">
        <v>0</v>
      </c>
      <c r="N77" s="56" t="n">
        <v>0</v>
      </c>
      <c r="O77" s="56" t="n">
        <v>0</v>
      </c>
      <c r="P77" s="56" t="n">
        <f aca="false">C77</f>
        <v>-0</v>
      </c>
    </row>
    <row r="78" customFormat="false" ht="15" hidden="false" customHeight="false" outlineLevel="0" collapsed="false">
      <c r="B78" s="3" t="s">
        <v>411</v>
      </c>
      <c r="C78" s="57" t="n">
        <f aca="false">C77</f>
        <v>-0</v>
      </c>
      <c r="D78" s="57" t="n">
        <f aca="false">C78+D75+D77</f>
        <v>-475000</v>
      </c>
      <c r="E78" s="57" t="n">
        <f aca="false">D78+E75+E77</f>
        <v>-425000</v>
      </c>
      <c r="F78" s="57" t="n">
        <f aca="false">E78+F75+F77</f>
        <v>-375000</v>
      </c>
      <c r="G78" s="57" t="n">
        <f aca="false">F78+G75+G77</f>
        <v>-325000</v>
      </c>
      <c r="H78" s="57" t="n">
        <f aca="false">G78+H75+H77</f>
        <v>-275000</v>
      </c>
      <c r="I78" s="57" t="n">
        <f aca="false">H78+I75+I77</f>
        <v>-225000</v>
      </c>
      <c r="J78" s="57" t="n">
        <f aca="false">I78+J75+J77</f>
        <v>-175000</v>
      </c>
      <c r="K78" s="57" t="n">
        <f aca="false">J78+K75+K77</f>
        <v>-125000</v>
      </c>
      <c r="L78" s="57" t="n">
        <f aca="false">K78+L75+L77</f>
        <v>-75000</v>
      </c>
      <c r="M78" s="57" t="n">
        <f aca="false">L78+M75+M77</f>
        <v>-25000</v>
      </c>
      <c r="N78" s="57" t="n">
        <f aca="false">M78+N75+N77</f>
        <v>25000</v>
      </c>
      <c r="O78" s="57" t="n">
        <f aca="false">N78+O75+O77</f>
        <v>75000</v>
      </c>
      <c r="P78" s="57"/>
    </row>
    <row r="79" customFormat="false" ht="15" hidden="false" customHeight="false" outlineLevel="0" collapsed="false">
      <c r="B79" s="44" t="s">
        <v>412</v>
      </c>
      <c r="C79" s="56"/>
      <c r="D79" s="56" t="str">
        <f aca="false">IF(D76&gt;=0,D68,"")</f>
        <v/>
      </c>
      <c r="E79" s="56" t="str">
        <f aca="false">IF(E76&gt;=0,E68,"")</f>
        <v/>
      </c>
      <c r="F79" s="56" t="str">
        <f aca="false">IF(F76&gt;=0,F68,"")</f>
        <v/>
      </c>
      <c r="G79" s="56" t="str">
        <f aca="false">IF(G76&gt;=0,G68,"")</f>
        <v/>
      </c>
      <c r="H79" s="56" t="str">
        <f aca="false">IF(H76&gt;=0,H68,"")</f>
        <v/>
      </c>
      <c r="I79" s="56" t="str">
        <f aca="false">IF(I76&gt;=0,I68,"")</f>
        <v/>
      </c>
      <c r="J79" s="56" t="str">
        <f aca="false">IF(J76&gt;=0,J68,"")</f>
        <v/>
      </c>
      <c r="K79" s="56" t="str">
        <f aca="false">IF(K76&gt;=0,K68,"")</f>
        <v/>
      </c>
      <c r="L79" s="56" t="str">
        <f aca="false">IF(L76&gt;=0,L68,"")</f>
        <v/>
      </c>
      <c r="M79" s="56" t="str">
        <f aca="false">IF(M76&gt;=0,M68,"")</f>
        <v/>
      </c>
      <c r="N79" s="56" t="n">
        <f aca="false">IF(N76&gt;=0,N68,"")</f>
        <v>11</v>
      </c>
      <c r="O79" s="56" t="n">
        <f aca="false">IF(O76&gt;=0,O68,"")</f>
        <v>12</v>
      </c>
      <c r="P79" s="56"/>
    </row>
    <row r="80" customFormat="false" ht="15" hidden="false" customHeight="false" outlineLevel="0" collapsed="false">
      <c r="B80" s="44" t="s">
        <v>413</v>
      </c>
      <c r="C80" s="56"/>
      <c r="D80" s="56" t="str">
        <f aca="false">IF(D78&gt;=0,D68,"")</f>
        <v/>
      </c>
      <c r="E80" s="56" t="str">
        <f aca="false">IF(E78&gt;=0,E68,"")</f>
        <v/>
      </c>
      <c r="F80" s="56" t="str">
        <f aca="false">IF(F78&gt;=0,F68,"")</f>
        <v/>
      </c>
      <c r="G80" s="56" t="str">
        <f aca="false">IF(G78&gt;=0,G68,"")</f>
        <v/>
      </c>
      <c r="H80" s="56" t="str">
        <f aca="false">IF(H78&gt;=0,H68,"")</f>
        <v/>
      </c>
      <c r="I80" s="56" t="str">
        <f aca="false">IF(I78&gt;=0,I68,"")</f>
        <v/>
      </c>
      <c r="J80" s="56" t="str">
        <f aca="false">IF(J78&gt;=0,J68,"")</f>
        <v/>
      </c>
      <c r="K80" s="56" t="str">
        <f aca="false">IF(K78&gt;=0,K68,"")</f>
        <v/>
      </c>
      <c r="L80" s="56" t="str">
        <f aca="false">IF(L78&gt;=0,L68,"")</f>
        <v/>
      </c>
      <c r="M80" s="56" t="str">
        <f aca="false">IF(M78&gt;=0,M68,"")</f>
        <v/>
      </c>
      <c r="N80" s="56" t="n">
        <f aca="false">IF(N78&gt;=0,N68,"")</f>
        <v>11</v>
      </c>
      <c r="O80" s="56" t="n">
        <f aca="false">IF(O78&gt;=0,O68,"")</f>
        <v>12</v>
      </c>
      <c r="P80" s="56"/>
    </row>
    <row r="84" customFormat="false" ht="15" hidden="false" customHeight="false" outlineLevel="0" collapsed="false">
      <c r="B84" s="42" t="s">
        <v>415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</row>
    <row r="85" customFormat="false" ht="15" hidden="false" customHeight="false" outlineLevel="0" collapsed="false">
      <c r="B85" s="44" t="s">
        <v>400</v>
      </c>
      <c r="C85" s="3" t="n">
        <v>0</v>
      </c>
      <c r="D85" s="3" t="n">
        <v>1</v>
      </c>
      <c r="E85" s="3" t="n">
        <v>2</v>
      </c>
      <c r="F85" s="3" t="n">
        <v>3</v>
      </c>
      <c r="G85" s="3" t="n">
        <v>4</v>
      </c>
      <c r="H85" s="3" t="n">
        <v>5</v>
      </c>
      <c r="I85" s="3" t="n">
        <v>6</v>
      </c>
      <c r="J85" s="3" t="n">
        <v>7</v>
      </c>
      <c r="K85" s="3" t="n">
        <v>8</v>
      </c>
      <c r="L85" s="3" t="n">
        <v>9</v>
      </c>
      <c r="M85" s="3" t="n">
        <v>10</v>
      </c>
      <c r="N85" s="3" t="n">
        <v>11</v>
      </c>
      <c r="O85" s="3" t="n">
        <v>12</v>
      </c>
      <c r="P85" s="3" t="s">
        <v>401</v>
      </c>
    </row>
    <row r="86" customFormat="false" ht="15" hidden="false" customHeight="false" outlineLevel="0" collapsed="false">
      <c r="B86" s="44" t="s">
        <v>402</v>
      </c>
      <c r="C86" s="55"/>
      <c r="D86" s="55" t="n">
        <f aca="false">IF(N('Входные данные'!$G$47)&lt;=0,1,MIN(1,D85/N('Входные данные'!$G$47)))</f>
        <v>0.5</v>
      </c>
      <c r="E86" s="55" t="n">
        <f aca="false">IF(N('Входные данные'!$G$47)&lt;=0,1,MIN(1,E85/N('Входные данные'!$G$47)))</f>
        <v>1</v>
      </c>
      <c r="F86" s="55" t="n">
        <f aca="false">IF(N('Входные данные'!$G$47)&lt;=0,1,MIN(1,F85/N('Входные данные'!$G$47)))</f>
        <v>1</v>
      </c>
      <c r="G86" s="55" t="n">
        <f aca="false">IF(N('Входные данные'!$G$47)&lt;=0,1,MIN(1,G85/N('Входные данные'!$G$47)))</f>
        <v>1</v>
      </c>
      <c r="H86" s="55" t="n">
        <f aca="false">IF(N('Входные данные'!$G$47)&lt;=0,1,MIN(1,H85/N('Входные данные'!$G$47)))</f>
        <v>1</v>
      </c>
      <c r="I86" s="55" t="n">
        <f aca="false">IF(N('Входные данные'!$G$47)&lt;=0,1,MIN(1,I85/N('Входные данные'!$G$47)))</f>
        <v>1</v>
      </c>
      <c r="J86" s="55" t="n">
        <f aca="false">IF(N('Входные данные'!$G$47)&lt;=0,1,MIN(1,J85/N('Входные данные'!$G$47)))</f>
        <v>1</v>
      </c>
      <c r="K86" s="55" t="n">
        <f aca="false">IF(N('Входные данные'!$G$47)&lt;=0,1,MIN(1,K85/N('Входные данные'!$G$47)))</f>
        <v>1</v>
      </c>
      <c r="L86" s="55" t="n">
        <f aca="false">IF(N('Входные данные'!$G$47)&lt;=0,1,MIN(1,L85/N('Входные данные'!$G$47)))</f>
        <v>1</v>
      </c>
      <c r="M86" s="55" t="n">
        <f aca="false">IF(N('Входные данные'!$G$47)&lt;=0,1,MIN(1,M85/N('Входные данные'!$G$47)))</f>
        <v>1</v>
      </c>
      <c r="N86" s="55" t="n">
        <f aca="false">IF(N('Входные данные'!$G$47)&lt;=0,1,MIN(1,N85/N('Входные данные'!$G$47)))</f>
        <v>1</v>
      </c>
      <c r="O86" s="55" t="n">
        <f aca="false">IF(N('Входные данные'!$G$47)&lt;=0,1,MIN(1,O85/N('Входные данные'!$G$47)))</f>
        <v>1</v>
      </c>
      <c r="P86" s="55"/>
    </row>
    <row r="87" customFormat="false" ht="15" hidden="false" customHeight="false" outlineLevel="0" collapsed="false">
      <c r="B87" s="44" t="s">
        <v>403</v>
      </c>
      <c r="C87" s="56"/>
      <c r="D87" s="56" t="n">
        <f aca="false">Воронка!$E$6*D86</f>
        <v>450</v>
      </c>
      <c r="E87" s="56" t="n">
        <f aca="false">Воронка!$E$6*E86</f>
        <v>900</v>
      </c>
      <c r="F87" s="56" t="n">
        <f aca="false">Воронка!$E$6*F86</f>
        <v>900</v>
      </c>
      <c r="G87" s="56" t="n">
        <f aca="false">Воронка!$E$6*G86</f>
        <v>900</v>
      </c>
      <c r="H87" s="56" t="n">
        <f aca="false">Воронка!$E$6*H86</f>
        <v>900</v>
      </c>
      <c r="I87" s="56" t="n">
        <f aca="false">Воронка!$E$6*I86</f>
        <v>900</v>
      </c>
      <c r="J87" s="56" t="n">
        <f aca="false">Воронка!$E$6*J86</f>
        <v>900</v>
      </c>
      <c r="K87" s="56" t="n">
        <f aca="false">Воронка!$E$6*K86</f>
        <v>900</v>
      </c>
      <c r="L87" s="56" t="n">
        <f aca="false">Воронка!$E$6*L86</f>
        <v>900</v>
      </c>
      <c r="M87" s="56" t="n">
        <f aca="false">Воронка!$E$6*M86</f>
        <v>900</v>
      </c>
      <c r="N87" s="56" t="n">
        <f aca="false">Воронка!$E$6*N86</f>
        <v>900</v>
      </c>
      <c r="O87" s="56" t="n">
        <f aca="false">Воронка!$E$6*O86</f>
        <v>900</v>
      </c>
      <c r="P87" s="56" t="n">
        <f aca="false">SUM(D87:O87)</f>
        <v>10350</v>
      </c>
    </row>
    <row r="88" customFormat="false" ht="15" hidden="false" customHeight="false" outlineLevel="0" collapsed="false">
      <c r="B88" s="44" t="s">
        <v>404</v>
      </c>
      <c r="C88" s="55"/>
      <c r="D88" s="55" t="n">
        <f aca="false">D87*Воронка!$E$13*Воронка!$E$17</f>
        <v>5.625</v>
      </c>
      <c r="E88" s="55" t="n">
        <f aca="false">E87*Воронка!$E$13*Воронка!$E$17</f>
        <v>11.25</v>
      </c>
      <c r="F88" s="55" t="n">
        <f aca="false">F87*Воронка!$E$13*Воронка!$E$17</f>
        <v>11.25</v>
      </c>
      <c r="G88" s="55" t="n">
        <f aca="false">G87*Воронка!$E$13*Воронка!$E$17</f>
        <v>11.25</v>
      </c>
      <c r="H88" s="55" t="n">
        <f aca="false">H87*Воронка!$E$13*Воронка!$E$17</f>
        <v>11.25</v>
      </c>
      <c r="I88" s="55" t="n">
        <f aca="false">I87*Воронка!$E$13*Воронка!$E$17</f>
        <v>11.25</v>
      </c>
      <c r="J88" s="55" t="n">
        <f aca="false">J87*Воронка!$E$13*Воронка!$E$17</f>
        <v>11.25</v>
      </c>
      <c r="K88" s="55" t="n">
        <f aca="false">K87*Воронка!$E$13*Воронка!$E$17</f>
        <v>11.25</v>
      </c>
      <c r="L88" s="55" t="n">
        <f aca="false">L87*Воронка!$E$13*Воронка!$E$17</f>
        <v>11.25</v>
      </c>
      <c r="M88" s="55" t="n">
        <f aca="false">M87*Воронка!$E$13*Воронка!$E$17</f>
        <v>11.25</v>
      </c>
      <c r="N88" s="55" t="n">
        <f aca="false">N87*Воронка!$E$13*Воронка!$E$17</f>
        <v>11.25</v>
      </c>
      <c r="O88" s="55" t="n">
        <f aca="false">O87*Воронка!$E$13*Воронка!$E$17</f>
        <v>11.25</v>
      </c>
      <c r="P88" s="55" t="n">
        <f aca="false">SUM(D88:O88)</f>
        <v>129.375</v>
      </c>
    </row>
    <row r="89" customFormat="false" ht="15" hidden="false" customHeight="false" outlineLevel="0" collapsed="false">
      <c r="B89" s="44" t="s">
        <v>405</v>
      </c>
      <c r="C89" s="56"/>
      <c r="D89" s="56" t="n">
        <f aca="false">D88*'Юнит-экономика'!$E$8</f>
        <v>5625000</v>
      </c>
      <c r="E89" s="56" t="n">
        <f aca="false">E88*'Юнит-экономика'!$E$8</f>
        <v>11250000</v>
      </c>
      <c r="F89" s="56" t="n">
        <f aca="false">F88*'Юнит-экономика'!$E$8</f>
        <v>11250000</v>
      </c>
      <c r="G89" s="56" t="n">
        <f aca="false">G88*'Юнит-экономика'!$E$8</f>
        <v>11250000</v>
      </c>
      <c r="H89" s="56" t="n">
        <f aca="false">H88*'Юнит-экономика'!$E$8</f>
        <v>11250000</v>
      </c>
      <c r="I89" s="56" t="n">
        <f aca="false">I88*'Юнит-экономика'!$E$8</f>
        <v>11250000</v>
      </c>
      <c r="J89" s="56" t="n">
        <f aca="false">J88*'Юнит-экономика'!$E$8</f>
        <v>11250000</v>
      </c>
      <c r="K89" s="56" t="n">
        <f aca="false">K88*'Юнит-экономика'!$E$8</f>
        <v>11250000</v>
      </c>
      <c r="L89" s="56" t="n">
        <f aca="false">L88*'Юнит-экономика'!$E$8</f>
        <v>11250000</v>
      </c>
      <c r="M89" s="56" t="n">
        <f aca="false">M88*'Юнит-экономика'!$E$8</f>
        <v>11250000</v>
      </c>
      <c r="N89" s="56" t="n">
        <f aca="false">N88*'Юнит-экономика'!$E$8</f>
        <v>11250000</v>
      </c>
      <c r="O89" s="56" t="n">
        <f aca="false">O88*'Юнит-экономика'!$E$8</f>
        <v>11250000</v>
      </c>
      <c r="P89" s="56" t="n">
        <f aca="false">SUM(D89:O89)</f>
        <v>129375000</v>
      </c>
    </row>
    <row r="90" customFormat="false" ht="15" hidden="false" customHeight="false" outlineLevel="0" collapsed="false">
      <c r="B90" s="44" t="s">
        <v>406</v>
      </c>
      <c r="C90" s="56"/>
      <c r="D90" s="56" t="n">
        <f aca="false">D88*'Юнит-экономика'!$E$32</f>
        <v>2812500</v>
      </c>
      <c r="E90" s="56" t="n">
        <f aca="false">E88*'Юнит-экономика'!$E$32</f>
        <v>5625000</v>
      </c>
      <c r="F90" s="56" t="n">
        <f aca="false">F88*'Юнит-экономика'!$E$32</f>
        <v>5625000</v>
      </c>
      <c r="G90" s="56" t="n">
        <f aca="false">G88*'Юнит-экономика'!$E$32</f>
        <v>5625000</v>
      </c>
      <c r="H90" s="56" t="n">
        <f aca="false">H88*'Юнит-экономика'!$E$32</f>
        <v>5625000</v>
      </c>
      <c r="I90" s="56" t="n">
        <f aca="false">I88*'Юнит-экономика'!$E$32</f>
        <v>5625000</v>
      </c>
      <c r="J90" s="56" t="n">
        <f aca="false">J88*'Юнит-экономика'!$E$32</f>
        <v>5625000</v>
      </c>
      <c r="K90" s="56" t="n">
        <f aca="false">K88*'Юнит-экономика'!$E$32</f>
        <v>5625000</v>
      </c>
      <c r="L90" s="56" t="n">
        <f aca="false">L88*'Юнит-экономика'!$E$32</f>
        <v>5625000</v>
      </c>
      <c r="M90" s="56" t="n">
        <f aca="false">M88*'Юнит-экономика'!$E$32</f>
        <v>5625000</v>
      </c>
      <c r="N90" s="56" t="n">
        <f aca="false">N88*'Юнит-экономика'!$E$32</f>
        <v>5625000</v>
      </c>
      <c r="O90" s="56" t="n">
        <f aca="false">O88*'Юнит-экономика'!$E$32</f>
        <v>5625000</v>
      </c>
      <c r="P90" s="56" t="n">
        <f aca="false">SUM(D90:O90)</f>
        <v>64687500</v>
      </c>
    </row>
    <row r="91" customFormat="false" ht="15" hidden="false" customHeight="false" outlineLevel="0" collapsed="false">
      <c r="B91" s="44" t="s">
        <v>407</v>
      </c>
      <c r="C91" s="56"/>
      <c r="D91" s="56" t="n">
        <f aca="false">Сценарии_BEP!$E$15</f>
        <v>1000000</v>
      </c>
      <c r="E91" s="56" t="n">
        <f aca="false">Сценарии_BEP!$E$15</f>
        <v>1000000</v>
      </c>
      <c r="F91" s="56" t="n">
        <f aca="false">Сценарии_BEP!$E$15</f>
        <v>1000000</v>
      </c>
      <c r="G91" s="56" t="n">
        <f aca="false">Сценарии_BEP!$E$15</f>
        <v>1000000</v>
      </c>
      <c r="H91" s="56" t="n">
        <f aca="false">Сценарии_BEP!$E$15</f>
        <v>1000000</v>
      </c>
      <c r="I91" s="56" t="n">
        <f aca="false">Сценарии_BEP!$E$15</f>
        <v>1000000</v>
      </c>
      <c r="J91" s="56" t="n">
        <f aca="false">Сценарии_BEP!$E$15</f>
        <v>1000000</v>
      </c>
      <c r="K91" s="56" t="n">
        <f aca="false">Сценарии_BEP!$E$15</f>
        <v>1000000</v>
      </c>
      <c r="L91" s="56" t="n">
        <f aca="false">Сценарии_BEP!$E$15</f>
        <v>1000000</v>
      </c>
      <c r="M91" s="56" t="n">
        <f aca="false">Сценарии_BEP!$E$15</f>
        <v>1000000</v>
      </c>
      <c r="N91" s="56" t="n">
        <f aca="false">Сценарии_BEP!$E$15</f>
        <v>1000000</v>
      </c>
      <c r="O91" s="56" t="n">
        <f aca="false">Сценарии_BEP!$E$15</f>
        <v>1000000</v>
      </c>
      <c r="P91" s="56" t="n">
        <f aca="false">SUM(D91:O91)</f>
        <v>12000000</v>
      </c>
    </row>
    <row r="92" customFormat="false" ht="15" hidden="false" customHeight="false" outlineLevel="0" collapsed="false">
      <c r="B92" s="3" t="s">
        <v>408</v>
      </c>
      <c r="C92" s="57"/>
      <c r="D92" s="57" t="n">
        <f aca="false">D90-D91</f>
        <v>1812500</v>
      </c>
      <c r="E92" s="57" t="n">
        <f aca="false">E90-E91</f>
        <v>4625000</v>
      </c>
      <c r="F92" s="57" t="n">
        <f aca="false">F90-F91</f>
        <v>4625000</v>
      </c>
      <c r="G92" s="57" t="n">
        <f aca="false">G90-G91</f>
        <v>4625000</v>
      </c>
      <c r="H92" s="57" t="n">
        <f aca="false">H90-H91</f>
        <v>4625000</v>
      </c>
      <c r="I92" s="57" t="n">
        <f aca="false">I90-I91</f>
        <v>4625000</v>
      </c>
      <c r="J92" s="57" t="n">
        <f aca="false">J90-J91</f>
        <v>4625000</v>
      </c>
      <c r="K92" s="57" t="n">
        <f aca="false">K90-K91</f>
        <v>4625000</v>
      </c>
      <c r="L92" s="57" t="n">
        <f aca="false">L90-L91</f>
        <v>4625000</v>
      </c>
      <c r="M92" s="57" t="n">
        <f aca="false">M90-M91</f>
        <v>4625000</v>
      </c>
      <c r="N92" s="57" t="n">
        <f aca="false">N90-N91</f>
        <v>4625000</v>
      </c>
      <c r="O92" s="57" t="n">
        <f aca="false">O90-O91</f>
        <v>4625000</v>
      </c>
      <c r="P92" s="57" t="n">
        <f aca="false">SUM(D92:O92)</f>
        <v>52687500</v>
      </c>
    </row>
    <row r="93" customFormat="false" ht="15" hidden="false" customHeight="false" outlineLevel="0" collapsed="false">
      <c r="B93" s="44" t="s">
        <v>409</v>
      </c>
      <c r="C93" s="56" t="n">
        <v>0</v>
      </c>
      <c r="D93" s="56" t="n">
        <f aca="false">C93+D92</f>
        <v>1812500</v>
      </c>
      <c r="E93" s="56" t="n">
        <f aca="false">D93+E92</f>
        <v>6437500</v>
      </c>
      <c r="F93" s="56" t="n">
        <f aca="false">E93+F92</f>
        <v>11062500</v>
      </c>
      <c r="G93" s="56" t="n">
        <f aca="false">F93+G92</f>
        <v>15687500</v>
      </c>
      <c r="H93" s="56" t="n">
        <f aca="false">G93+H92</f>
        <v>20312500</v>
      </c>
      <c r="I93" s="56" t="n">
        <f aca="false">H93+I92</f>
        <v>24937500</v>
      </c>
      <c r="J93" s="56" t="n">
        <f aca="false">I93+J92</f>
        <v>29562500</v>
      </c>
      <c r="K93" s="56" t="n">
        <f aca="false">J93+K92</f>
        <v>34187500</v>
      </c>
      <c r="L93" s="56" t="n">
        <f aca="false">K93+L92</f>
        <v>38812500</v>
      </c>
      <c r="M93" s="56" t="n">
        <f aca="false">L93+M92</f>
        <v>43437500</v>
      </c>
      <c r="N93" s="56" t="n">
        <f aca="false">M93+N92</f>
        <v>48062500</v>
      </c>
      <c r="O93" s="56" t="n">
        <f aca="false">N93+O92</f>
        <v>52687500</v>
      </c>
      <c r="P93" s="56"/>
    </row>
    <row r="94" customFormat="false" ht="15" hidden="false" customHeight="false" outlineLevel="0" collapsed="false">
      <c r="B94" s="44" t="s">
        <v>410</v>
      </c>
      <c r="C94" s="56" t="n">
        <f aca="false">-Сценарии_BEP!$E$24</f>
        <v>-0</v>
      </c>
      <c r="D94" s="56" t="n">
        <v>0</v>
      </c>
      <c r="E94" s="56" t="n">
        <v>0</v>
      </c>
      <c r="F94" s="56" t="n">
        <v>0</v>
      </c>
      <c r="G94" s="56" t="n">
        <v>0</v>
      </c>
      <c r="H94" s="56" t="n">
        <v>0</v>
      </c>
      <c r="I94" s="56" t="n">
        <v>0</v>
      </c>
      <c r="J94" s="56" t="n">
        <v>0</v>
      </c>
      <c r="K94" s="56" t="n">
        <v>0</v>
      </c>
      <c r="L94" s="56" t="n">
        <v>0</v>
      </c>
      <c r="M94" s="56" t="n">
        <v>0</v>
      </c>
      <c r="N94" s="56" t="n">
        <v>0</v>
      </c>
      <c r="O94" s="56" t="n">
        <v>0</v>
      </c>
      <c r="P94" s="56" t="n">
        <f aca="false">C94</f>
        <v>-0</v>
      </c>
    </row>
    <row r="95" customFormat="false" ht="15" hidden="false" customHeight="false" outlineLevel="0" collapsed="false">
      <c r="B95" s="3" t="s">
        <v>411</v>
      </c>
      <c r="C95" s="57" t="n">
        <f aca="false">C94</f>
        <v>-0</v>
      </c>
      <c r="D95" s="57" t="n">
        <f aca="false">C95+D92+D94</f>
        <v>1812500</v>
      </c>
      <c r="E95" s="57" t="n">
        <f aca="false">D95+E92+E94</f>
        <v>6437500</v>
      </c>
      <c r="F95" s="57" t="n">
        <f aca="false">E95+F92+F94</f>
        <v>11062500</v>
      </c>
      <c r="G95" s="57" t="n">
        <f aca="false">F95+G92+G94</f>
        <v>15687500</v>
      </c>
      <c r="H95" s="57" t="n">
        <f aca="false">G95+H92+H94</f>
        <v>20312500</v>
      </c>
      <c r="I95" s="57" t="n">
        <f aca="false">H95+I92+I94</f>
        <v>24937500</v>
      </c>
      <c r="J95" s="57" t="n">
        <f aca="false">I95+J92+J94</f>
        <v>29562500</v>
      </c>
      <c r="K95" s="57" t="n">
        <f aca="false">J95+K92+K94</f>
        <v>34187500</v>
      </c>
      <c r="L95" s="57" t="n">
        <f aca="false">K95+L92+L94</f>
        <v>38812500</v>
      </c>
      <c r="M95" s="57" t="n">
        <f aca="false">L95+M92+M94</f>
        <v>43437500</v>
      </c>
      <c r="N95" s="57" t="n">
        <f aca="false">M95+N92+N94</f>
        <v>48062500</v>
      </c>
      <c r="O95" s="57" t="n">
        <f aca="false">N95+O92+O94</f>
        <v>52687500</v>
      </c>
      <c r="P95" s="57"/>
    </row>
    <row r="96" customFormat="false" ht="15" hidden="false" customHeight="false" outlineLevel="0" collapsed="false">
      <c r="B96" s="44" t="s">
        <v>412</v>
      </c>
      <c r="C96" s="56"/>
      <c r="D96" s="56" t="n">
        <f aca="false">IF(D93&gt;=0,D85,"")</f>
        <v>1</v>
      </c>
      <c r="E96" s="56" t="n">
        <f aca="false">IF(E93&gt;=0,E85,"")</f>
        <v>2</v>
      </c>
      <c r="F96" s="56" t="n">
        <f aca="false">IF(F93&gt;=0,F85,"")</f>
        <v>3</v>
      </c>
      <c r="G96" s="56" t="n">
        <f aca="false">IF(G93&gt;=0,G85,"")</f>
        <v>4</v>
      </c>
      <c r="H96" s="56" t="n">
        <f aca="false">IF(H93&gt;=0,H85,"")</f>
        <v>5</v>
      </c>
      <c r="I96" s="56" t="n">
        <f aca="false">IF(I93&gt;=0,I85,"")</f>
        <v>6</v>
      </c>
      <c r="J96" s="56" t="n">
        <f aca="false">IF(J93&gt;=0,J85,"")</f>
        <v>7</v>
      </c>
      <c r="K96" s="56" t="n">
        <f aca="false">IF(K93&gt;=0,K85,"")</f>
        <v>8</v>
      </c>
      <c r="L96" s="56" t="n">
        <f aca="false">IF(L93&gt;=0,L85,"")</f>
        <v>9</v>
      </c>
      <c r="M96" s="56" t="n">
        <f aca="false">IF(M93&gt;=0,M85,"")</f>
        <v>10</v>
      </c>
      <c r="N96" s="56" t="n">
        <f aca="false">IF(N93&gt;=0,N85,"")</f>
        <v>11</v>
      </c>
      <c r="O96" s="56" t="n">
        <f aca="false">IF(O93&gt;=0,O85,"")</f>
        <v>12</v>
      </c>
      <c r="P96" s="56"/>
    </row>
    <row r="97" customFormat="false" ht="15" hidden="false" customHeight="false" outlineLevel="0" collapsed="false">
      <c r="B97" s="44" t="s">
        <v>413</v>
      </c>
      <c r="C97" s="56"/>
      <c r="D97" s="56" t="n">
        <f aca="false">IF(D95&gt;=0,D85,"")</f>
        <v>1</v>
      </c>
      <c r="E97" s="56" t="n">
        <f aca="false">IF(E95&gt;=0,E85,"")</f>
        <v>2</v>
      </c>
      <c r="F97" s="56" t="n">
        <f aca="false">IF(F95&gt;=0,F85,"")</f>
        <v>3</v>
      </c>
      <c r="G97" s="56" t="n">
        <f aca="false">IF(G95&gt;=0,G85,"")</f>
        <v>4</v>
      </c>
      <c r="H97" s="56" t="n">
        <f aca="false">IF(H95&gt;=0,H85,"")</f>
        <v>5</v>
      </c>
      <c r="I97" s="56" t="n">
        <f aca="false">IF(I95&gt;=0,I85,"")</f>
        <v>6</v>
      </c>
      <c r="J97" s="56" t="n">
        <f aca="false">IF(J95&gt;=0,J85,"")</f>
        <v>7</v>
      </c>
      <c r="K97" s="56" t="n">
        <f aca="false">IF(K95&gt;=0,K85,"")</f>
        <v>8</v>
      </c>
      <c r="L97" s="56" t="n">
        <f aca="false">IF(L95&gt;=0,L85,"")</f>
        <v>9</v>
      </c>
      <c r="M97" s="56" t="n">
        <f aca="false">IF(M95&gt;=0,M85,"")</f>
        <v>10</v>
      </c>
      <c r="N97" s="56" t="n">
        <f aca="false">IF(N95&gt;=0,N85,"")</f>
        <v>11</v>
      </c>
      <c r="O97" s="56" t="n">
        <f aca="false">IF(O95&gt;=0,O85,"")</f>
        <v>12</v>
      </c>
      <c r="P97" s="5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6" min="3" style="0" width="18"/>
  </cols>
  <sheetData>
    <row r="1" customFormat="false" ht="17.35" hidden="false" customHeight="false" outlineLevel="0" collapsed="false">
      <c r="A1" s="1" t="s">
        <v>416</v>
      </c>
    </row>
    <row r="2" customFormat="false" ht="15" hidden="false" customHeight="false" outlineLevel="0" collapsed="false">
      <c r="A2" s="2" t="s">
        <v>417</v>
      </c>
    </row>
    <row r="4" customFormat="false" ht="15" hidden="false" customHeight="false" outlineLevel="0" collapsed="false">
      <c r="B4" s="42" t="s">
        <v>418</v>
      </c>
      <c r="C4" s="43"/>
      <c r="D4" s="43"/>
      <c r="E4" s="43"/>
      <c r="F4" s="43"/>
    </row>
    <row r="5" customFormat="false" ht="15" hidden="false" customHeight="false" outlineLevel="0" collapsed="false">
      <c r="B5" s="10" t="s">
        <v>287</v>
      </c>
      <c r="C5" s="41" t="s">
        <v>419</v>
      </c>
      <c r="D5" s="41" t="s">
        <v>420</v>
      </c>
      <c r="E5" s="41" t="s">
        <v>421</v>
      </c>
      <c r="F5" s="41" t="s">
        <v>422</v>
      </c>
    </row>
    <row r="6" customFormat="false" ht="15" hidden="false" customHeight="false" outlineLevel="0" collapsed="false">
      <c r="B6" s="44" t="s">
        <v>423</v>
      </c>
      <c r="C6" s="48" t="n">
        <v>1</v>
      </c>
      <c r="D6" s="48" t="n">
        <f aca="false">N('Входные данные'!$E$37)</f>
        <v>0.25</v>
      </c>
      <c r="E6" s="48" t="n">
        <v>1</v>
      </c>
      <c r="F6" s="48" t="n">
        <f aca="false">N('Входные данные'!$E$37)</f>
        <v>0.25</v>
      </c>
    </row>
    <row r="7" customFormat="false" ht="15" hidden="false" customHeight="false" outlineLevel="0" collapsed="false">
      <c r="B7" s="44" t="s">
        <v>424</v>
      </c>
      <c r="C7" s="51" t="n">
        <f aca="false">Воронка!$C$12*C6</f>
        <v>0.3</v>
      </c>
      <c r="D7" s="51" t="n">
        <f aca="false">Воронка!$C$12*D6</f>
        <v>0.075</v>
      </c>
      <c r="E7" s="51" t="n">
        <f aca="false">Воронка!$C$12*E6</f>
        <v>0.3</v>
      </c>
      <c r="F7" s="51" t="n">
        <f aca="false">Воронка!$C$12*F6</f>
        <v>0.075</v>
      </c>
    </row>
    <row r="8" customFormat="false" ht="15" hidden="false" customHeight="false" outlineLevel="0" collapsed="false">
      <c r="B8" s="44" t="s">
        <v>425</v>
      </c>
      <c r="C8" s="45" t="n">
        <f aca="false">'Юнит-экономика'!$C$30</f>
        <v>300000</v>
      </c>
      <c r="D8" s="45" t="n">
        <f aca="false">'Юнит-экономика'!$C$30</f>
        <v>300000</v>
      </c>
      <c r="E8" s="45" t="n">
        <f aca="false">'Юнит-экономика'!$C$31</f>
        <v>240000</v>
      </c>
      <c r="F8" s="45" t="n">
        <f aca="false">'Юнит-экономика'!$C$31</f>
        <v>240000</v>
      </c>
    </row>
    <row r="9" customFormat="false" ht="15" hidden="false" customHeight="false" outlineLevel="0" collapsed="false">
      <c r="B9" s="44" t="s">
        <v>426</v>
      </c>
      <c r="C9" s="45" t="n">
        <f aca="false">C7*C8</f>
        <v>90000</v>
      </c>
      <c r="D9" s="45" t="n">
        <f aca="false">D7*D8</f>
        <v>22500</v>
      </c>
      <c r="E9" s="45" t="n">
        <f aca="false">E7*E8</f>
        <v>72000</v>
      </c>
      <c r="F9" s="45" t="n">
        <f aca="false">F7*F8</f>
        <v>18000</v>
      </c>
    </row>
    <row r="10" customFormat="false" ht="15" hidden="false" customHeight="false" outlineLevel="0" collapsed="false">
      <c r="B10" s="44" t="s">
        <v>427</v>
      </c>
      <c r="C10" s="45" t="n">
        <f aca="false">Сценарии_BEP!$C$15</f>
        <v>1000000</v>
      </c>
      <c r="D10" s="45" t="n">
        <f aca="false">Сценарии_BEP!$C$15</f>
        <v>1000000</v>
      </c>
      <c r="E10" s="45" t="n">
        <f aca="false">Сценарии_BEP!$C$15</f>
        <v>1000000</v>
      </c>
      <c r="F10" s="45" t="n">
        <f aca="false">Сценарии_BEP!$C$15</f>
        <v>1000000</v>
      </c>
    </row>
    <row r="11" customFormat="false" ht="15" hidden="false" customHeight="false" outlineLevel="0" collapsed="false">
      <c r="B11" s="3" t="s">
        <v>428</v>
      </c>
      <c r="C11" s="47" t="n">
        <f aca="false">C9-C10</f>
        <v>-910000</v>
      </c>
      <c r="D11" s="47" t="n">
        <f aca="false">D9-D10</f>
        <v>-977500</v>
      </c>
      <c r="E11" s="47" t="n">
        <f aca="false">E9-E10</f>
        <v>-928000</v>
      </c>
      <c r="F11" s="47" t="n">
        <f aca="false">F9-F10</f>
        <v>-982000</v>
      </c>
    </row>
    <row r="12" customFormat="false" ht="15" hidden="false" customHeight="false" outlineLevel="0" collapsed="false">
      <c r="B12" s="44" t="s">
        <v>429</v>
      </c>
      <c r="C12" s="45" t="n">
        <f aca="false">C11-$C11</f>
        <v>0</v>
      </c>
      <c r="D12" s="45" t="n">
        <f aca="false">D11-$C11</f>
        <v>-67500</v>
      </c>
      <c r="E12" s="45" t="n">
        <f aca="false">E11-$C11</f>
        <v>-18000</v>
      </c>
      <c r="F12" s="45" t="n">
        <f aca="false">F11-$C11</f>
        <v>-72000</v>
      </c>
    </row>
    <row r="13" customFormat="false" ht="15" hidden="false" customHeight="false" outlineLevel="0" collapsed="false">
      <c r="B13" s="44" t="s">
        <v>430</v>
      </c>
      <c r="C13" s="50" t="n">
        <f aca="false">IF(C8&gt;0,C10/C8,"нет БУ")</f>
        <v>3.33333333333333</v>
      </c>
      <c r="D13" s="50" t="n">
        <f aca="false">IF(D8&gt;0,D10/D8,"нет БУ")</f>
        <v>3.33333333333333</v>
      </c>
      <c r="E13" s="50" t="n">
        <f aca="false">IF(E8&gt;0,E10/E8,"нет БУ")</f>
        <v>4.16666666666667</v>
      </c>
      <c r="F13" s="50" t="n">
        <f aca="false">IF(F8&gt;0,F10/F8,"нет БУ")</f>
        <v>4.16666666666667</v>
      </c>
    </row>
    <row r="14" customFormat="false" ht="15" hidden="false" customHeight="false" outlineLevel="0" collapsed="false">
      <c r="B14" s="44" t="s">
        <v>431</v>
      </c>
      <c r="C14" s="45" t="n">
        <f aca="false">IF(AND(ISNUMBER(C13),Воронка!$C$13*C6&gt;0),C13/(Воронка!$C$13*C6),"нет БУ")</f>
        <v>1111.11111111111</v>
      </c>
      <c r="D14" s="45" t="n">
        <f aca="false">IF(AND(ISNUMBER(D13),Воронка!$C$13*D6&gt;0),D13/(Воронка!$C$13*D6),"нет БУ")</f>
        <v>4444.44444444444</v>
      </c>
      <c r="E14" s="45" t="n">
        <f aca="false">IF(AND(ISNUMBER(E13),Воронка!$C$13*E6&gt;0),E13/(Воронка!$C$13*E6),"нет БУ")</f>
        <v>1388.88888888889</v>
      </c>
      <c r="F14" s="45" t="n">
        <f aca="false">IF(AND(ISNUMBER(F13),Воронка!$C$13*F6&gt;0),F13/(Воронка!$C$13*F6),"нет БУ")</f>
        <v>5555.55555555556</v>
      </c>
    </row>
    <row r="15" customFormat="false" ht="15" hidden="false" customHeight="false" outlineLevel="0" collapsed="false">
      <c r="B15" s="44" t="s">
        <v>389</v>
      </c>
      <c r="C15" s="50" t="str">
        <f aca="false">IF(Сценарии_BEP!$C$24&lt;=0,"нет данных о разработке",IF(C11&gt;0,Сценарии_BEP!$C$24/C11,"не окупается"))</f>
        <v>нет данных о разработке</v>
      </c>
      <c r="D15" s="50" t="str">
        <f aca="false">IF(Сценарии_BEP!$C$24&lt;=0,"нет данных о разработке",IF(D11&gt;0,Сценарии_BEP!$C$24/D11,"не окупается"))</f>
        <v>нет данных о разработке</v>
      </c>
      <c r="E15" s="50" t="str">
        <f aca="false">IF(Сценарии_BEP!$C$24&lt;=0,"нет данных о разработке",IF(E11&gt;0,Сценарии_BEP!$C$24/E11,"не окупается"))</f>
        <v>нет данных о разработке</v>
      </c>
      <c r="F15" s="50" t="str">
        <f aca="false">IF(Сценарии_BEP!$C$24&lt;=0,"нет данных о разработке",IF(F11&gt;0,Сценарии_BEP!$C$24/F11,"не окупается"))</f>
        <v>нет данных о разработке</v>
      </c>
    </row>
    <row r="17" customFormat="false" ht="15" hidden="false" customHeight="false" outlineLevel="0" collapsed="false">
      <c r="B17" s="42" t="s">
        <v>432</v>
      </c>
      <c r="C17" s="43"/>
      <c r="D17" s="43"/>
      <c r="E17" s="43"/>
      <c r="F17" s="43"/>
    </row>
    <row r="18" customFormat="false" ht="15" hidden="false" customHeight="false" outlineLevel="0" collapsed="false">
      <c r="B18" s="10" t="s">
        <v>287</v>
      </c>
      <c r="C18" s="41" t="s">
        <v>419</v>
      </c>
      <c r="D18" s="41" t="s">
        <v>420</v>
      </c>
      <c r="E18" s="41" t="s">
        <v>421</v>
      </c>
      <c r="F18" s="41" t="s">
        <v>422</v>
      </c>
    </row>
    <row r="19" customFormat="false" ht="15" hidden="false" customHeight="false" outlineLevel="0" collapsed="false">
      <c r="B19" s="44" t="s">
        <v>423</v>
      </c>
      <c r="C19" s="48" t="n">
        <v>1</v>
      </c>
      <c r="D19" s="48" t="n">
        <f aca="false">N('Входные данные'!$F$37)</f>
        <v>0.25</v>
      </c>
      <c r="E19" s="48" t="n">
        <v>1</v>
      </c>
      <c r="F19" s="48" t="n">
        <f aca="false">N('Входные данные'!$F$37)</f>
        <v>0.25</v>
      </c>
    </row>
    <row r="20" customFormat="false" ht="15" hidden="false" customHeight="false" outlineLevel="0" collapsed="false">
      <c r="B20" s="44" t="s">
        <v>424</v>
      </c>
      <c r="C20" s="51" t="n">
        <f aca="false">Воронка!$D$12*C19</f>
        <v>2.1</v>
      </c>
      <c r="D20" s="51" t="n">
        <f aca="false">Воронка!$D$12*D19</f>
        <v>0.525</v>
      </c>
      <c r="E20" s="51" t="n">
        <f aca="false">Воронка!$D$12*E19</f>
        <v>2.1</v>
      </c>
      <c r="F20" s="51" t="n">
        <f aca="false">Воронка!$D$12*F19</f>
        <v>0.525</v>
      </c>
    </row>
    <row r="21" customFormat="false" ht="15" hidden="false" customHeight="false" outlineLevel="0" collapsed="false">
      <c r="B21" s="44" t="s">
        <v>425</v>
      </c>
      <c r="C21" s="45" t="n">
        <f aca="false">'Юнит-экономика'!$D$30</f>
        <v>500000</v>
      </c>
      <c r="D21" s="45" t="n">
        <f aca="false">'Юнит-экономика'!$D$30</f>
        <v>500000</v>
      </c>
      <c r="E21" s="45" t="n">
        <f aca="false">'Юнит-экономика'!$D$31</f>
        <v>400000</v>
      </c>
      <c r="F21" s="45" t="n">
        <f aca="false">'Юнит-экономика'!$D$31</f>
        <v>400000</v>
      </c>
    </row>
    <row r="22" customFormat="false" ht="15" hidden="false" customHeight="false" outlineLevel="0" collapsed="false">
      <c r="B22" s="44" t="s">
        <v>426</v>
      </c>
      <c r="C22" s="45" t="n">
        <f aca="false">C20*C21</f>
        <v>1050000</v>
      </c>
      <c r="D22" s="45" t="n">
        <f aca="false">D20*D21</f>
        <v>262500</v>
      </c>
      <c r="E22" s="45" t="n">
        <f aca="false">E20*E21</f>
        <v>840000</v>
      </c>
      <c r="F22" s="45" t="n">
        <f aca="false">F20*F21</f>
        <v>210000</v>
      </c>
    </row>
    <row r="23" customFormat="false" ht="15" hidden="false" customHeight="false" outlineLevel="0" collapsed="false">
      <c r="B23" s="44" t="s">
        <v>427</v>
      </c>
      <c r="C23" s="45" t="n">
        <f aca="false">Сценарии_BEP!$D$15</f>
        <v>1000000</v>
      </c>
      <c r="D23" s="45" t="n">
        <f aca="false">Сценарии_BEP!$D$15</f>
        <v>1000000</v>
      </c>
      <c r="E23" s="45" t="n">
        <f aca="false">Сценарии_BEP!$D$15</f>
        <v>1000000</v>
      </c>
      <c r="F23" s="45" t="n">
        <f aca="false">Сценарии_BEP!$D$15</f>
        <v>1000000</v>
      </c>
    </row>
    <row r="24" customFormat="false" ht="15" hidden="false" customHeight="false" outlineLevel="0" collapsed="false">
      <c r="B24" s="3" t="s">
        <v>428</v>
      </c>
      <c r="C24" s="47" t="n">
        <f aca="false">C22-C23</f>
        <v>50000</v>
      </c>
      <c r="D24" s="47" t="n">
        <f aca="false">D22-D23</f>
        <v>-737500</v>
      </c>
      <c r="E24" s="47" t="n">
        <f aca="false">E22-E23</f>
        <v>-160000</v>
      </c>
      <c r="F24" s="47" t="n">
        <f aca="false">F22-F23</f>
        <v>-790000</v>
      </c>
    </row>
    <row r="25" customFormat="false" ht="15" hidden="false" customHeight="false" outlineLevel="0" collapsed="false">
      <c r="B25" s="44" t="s">
        <v>429</v>
      </c>
      <c r="C25" s="45" t="n">
        <f aca="false">C24-$C24</f>
        <v>0</v>
      </c>
      <c r="D25" s="45" t="n">
        <f aca="false">D24-$C24</f>
        <v>-787500</v>
      </c>
      <c r="E25" s="45" t="n">
        <f aca="false">E24-$C24</f>
        <v>-210000</v>
      </c>
      <c r="F25" s="45" t="n">
        <f aca="false">F24-$C24</f>
        <v>-840000</v>
      </c>
    </row>
    <row r="26" customFormat="false" ht="15" hidden="false" customHeight="false" outlineLevel="0" collapsed="false">
      <c r="B26" s="44" t="s">
        <v>430</v>
      </c>
      <c r="C26" s="50" t="n">
        <f aca="false">IF(C21&gt;0,C23/C21,"нет БУ")</f>
        <v>2</v>
      </c>
      <c r="D26" s="50" t="n">
        <f aca="false">IF(D21&gt;0,D23/D21,"нет БУ")</f>
        <v>2</v>
      </c>
      <c r="E26" s="50" t="n">
        <f aca="false">IF(E21&gt;0,E23/E21,"нет БУ")</f>
        <v>2.5</v>
      </c>
      <c r="F26" s="50" t="n">
        <f aca="false">IF(F21&gt;0,F23/F21,"нет БУ")</f>
        <v>2.5</v>
      </c>
    </row>
    <row r="27" customFormat="false" ht="15" hidden="false" customHeight="false" outlineLevel="0" collapsed="false">
      <c r="B27" s="44" t="s">
        <v>431</v>
      </c>
      <c r="C27" s="45" t="n">
        <f aca="false">IF(AND(ISNUMBER(C26),Воронка!$D$13*C19&gt;0),C26/(Воронка!$D$13*C19),"нет БУ")</f>
        <v>285.714285714286</v>
      </c>
      <c r="D27" s="45" t="n">
        <f aca="false">IF(AND(ISNUMBER(D26),Воронка!$D$13*D19&gt;0),D26/(Воронка!$D$13*D19),"нет БУ")</f>
        <v>1142.85714285714</v>
      </c>
      <c r="E27" s="45" t="n">
        <f aca="false">IF(AND(ISNUMBER(E26),Воронка!$D$13*E19&gt;0),E26/(Воронка!$D$13*E19),"нет БУ")</f>
        <v>357.142857142857</v>
      </c>
      <c r="F27" s="45" t="n">
        <f aca="false">IF(AND(ISNUMBER(F26),Воронка!$D$13*F19&gt;0),F26/(Воронка!$D$13*F19),"нет БУ")</f>
        <v>1428.57142857143</v>
      </c>
    </row>
    <row r="28" customFormat="false" ht="15" hidden="false" customHeight="false" outlineLevel="0" collapsed="false">
      <c r="B28" s="44" t="s">
        <v>389</v>
      </c>
      <c r="C28" s="50" t="str">
        <f aca="false">IF(Сценарии_BEP!$D$24&lt;=0,"нет данных о разработке",IF(C24&gt;0,Сценарии_BEP!$D$24/C24,"не окупается"))</f>
        <v>нет данных о разработке</v>
      </c>
      <c r="D28" s="50" t="str">
        <f aca="false">IF(Сценарии_BEP!$D$24&lt;=0,"нет данных о разработке",IF(D24&gt;0,Сценарии_BEP!$D$24/D24,"не окупается"))</f>
        <v>нет данных о разработке</v>
      </c>
      <c r="E28" s="50" t="str">
        <f aca="false">IF(Сценарии_BEP!$D$24&lt;=0,"нет данных о разработке",IF(E24&gt;0,Сценарии_BEP!$D$24/E24,"не окупается"))</f>
        <v>нет данных о разработке</v>
      </c>
      <c r="F28" s="50" t="str">
        <f aca="false">IF(Сценарии_BEP!$D$24&lt;=0,"нет данных о разработке",IF(F24&gt;0,Сценарии_BEP!$D$24/F24,"не окупается"))</f>
        <v>нет данных о разработке</v>
      </c>
    </row>
    <row r="30" customFormat="false" ht="15" hidden="false" customHeight="false" outlineLevel="0" collapsed="false">
      <c r="B30" s="42" t="s">
        <v>433</v>
      </c>
      <c r="C30" s="43"/>
      <c r="D30" s="43"/>
      <c r="E30" s="43"/>
      <c r="F30" s="43"/>
    </row>
    <row r="31" customFormat="false" ht="15" hidden="false" customHeight="false" outlineLevel="0" collapsed="false">
      <c r="B31" s="10" t="s">
        <v>287</v>
      </c>
      <c r="C31" s="41" t="s">
        <v>419</v>
      </c>
      <c r="D31" s="41" t="s">
        <v>420</v>
      </c>
      <c r="E31" s="41" t="s">
        <v>421</v>
      </c>
      <c r="F31" s="41" t="s">
        <v>422</v>
      </c>
    </row>
    <row r="32" customFormat="false" ht="15" hidden="false" customHeight="false" outlineLevel="0" collapsed="false">
      <c r="B32" s="44" t="s">
        <v>423</v>
      </c>
      <c r="C32" s="48" t="n">
        <v>1</v>
      </c>
      <c r="D32" s="48" t="n">
        <f aca="false">N('Входные данные'!$G$37)</f>
        <v>0.25</v>
      </c>
      <c r="E32" s="48" t="n">
        <v>1</v>
      </c>
      <c r="F32" s="48" t="n">
        <f aca="false">N('Входные данные'!$G$37)</f>
        <v>0.25</v>
      </c>
    </row>
    <row r="33" customFormat="false" ht="15" hidden="false" customHeight="false" outlineLevel="0" collapsed="false">
      <c r="B33" s="44" t="s">
        <v>424</v>
      </c>
      <c r="C33" s="51" t="n">
        <f aca="false">Воронка!$E$12*C32</f>
        <v>11.25</v>
      </c>
      <c r="D33" s="51" t="n">
        <f aca="false">Воронка!$E$12*D32</f>
        <v>2.8125</v>
      </c>
      <c r="E33" s="51" t="n">
        <f aca="false">Воронка!$E$12*E32</f>
        <v>11.25</v>
      </c>
      <c r="F33" s="51" t="n">
        <f aca="false">Воронка!$E$12*F32</f>
        <v>2.8125</v>
      </c>
    </row>
    <row r="34" customFormat="false" ht="15" hidden="false" customHeight="false" outlineLevel="0" collapsed="false">
      <c r="B34" s="44" t="s">
        <v>425</v>
      </c>
      <c r="C34" s="45" t="n">
        <f aca="false">'Юнит-экономика'!$E$30</f>
        <v>500000</v>
      </c>
      <c r="D34" s="45" t="n">
        <f aca="false">'Юнит-экономика'!$E$30</f>
        <v>500000</v>
      </c>
      <c r="E34" s="45" t="n">
        <f aca="false">'Юнит-экономика'!$E$31</f>
        <v>400000</v>
      </c>
      <c r="F34" s="45" t="n">
        <f aca="false">'Юнит-экономика'!$E$31</f>
        <v>400000</v>
      </c>
    </row>
    <row r="35" customFormat="false" ht="15" hidden="false" customHeight="false" outlineLevel="0" collapsed="false">
      <c r="B35" s="44" t="s">
        <v>426</v>
      </c>
      <c r="C35" s="45" t="n">
        <f aca="false">C33*C34</f>
        <v>5625000</v>
      </c>
      <c r="D35" s="45" t="n">
        <f aca="false">D33*D34</f>
        <v>1406250</v>
      </c>
      <c r="E35" s="45" t="n">
        <f aca="false">E33*E34</f>
        <v>4500000</v>
      </c>
      <c r="F35" s="45" t="n">
        <f aca="false">F33*F34</f>
        <v>1125000</v>
      </c>
    </row>
    <row r="36" customFormat="false" ht="15" hidden="false" customHeight="false" outlineLevel="0" collapsed="false">
      <c r="B36" s="44" t="s">
        <v>427</v>
      </c>
      <c r="C36" s="45" t="n">
        <f aca="false">Сценарии_BEP!$E$15</f>
        <v>1000000</v>
      </c>
      <c r="D36" s="45" t="n">
        <f aca="false">Сценарии_BEP!$E$15</f>
        <v>1000000</v>
      </c>
      <c r="E36" s="45" t="n">
        <f aca="false">Сценарии_BEP!$E$15</f>
        <v>1000000</v>
      </c>
      <c r="F36" s="45" t="n">
        <f aca="false">Сценарии_BEP!$E$15</f>
        <v>1000000</v>
      </c>
    </row>
    <row r="37" customFormat="false" ht="15" hidden="false" customHeight="false" outlineLevel="0" collapsed="false">
      <c r="B37" s="3" t="s">
        <v>428</v>
      </c>
      <c r="C37" s="47" t="n">
        <f aca="false">C35-C36</f>
        <v>4625000</v>
      </c>
      <c r="D37" s="47" t="n">
        <f aca="false">D35-D36</f>
        <v>406250</v>
      </c>
      <c r="E37" s="47" t="n">
        <f aca="false">E35-E36</f>
        <v>3500000</v>
      </c>
      <c r="F37" s="47" t="n">
        <f aca="false">F35-F36</f>
        <v>125000</v>
      </c>
    </row>
    <row r="38" customFormat="false" ht="15" hidden="false" customHeight="false" outlineLevel="0" collapsed="false">
      <c r="B38" s="44" t="s">
        <v>429</v>
      </c>
      <c r="C38" s="45" t="n">
        <f aca="false">C37-$C37</f>
        <v>0</v>
      </c>
      <c r="D38" s="45" t="n">
        <f aca="false">D37-$C37</f>
        <v>-4218750</v>
      </c>
      <c r="E38" s="45" t="n">
        <f aca="false">E37-$C37</f>
        <v>-1125000</v>
      </c>
      <c r="F38" s="45" t="n">
        <f aca="false">F37-$C37</f>
        <v>-4500000</v>
      </c>
    </row>
    <row r="39" customFormat="false" ht="15" hidden="false" customHeight="false" outlineLevel="0" collapsed="false">
      <c r="B39" s="44" t="s">
        <v>430</v>
      </c>
      <c r="C39" s="50" t="n">
        <f aca="false">IF(C34&gt;0,C36/C34,"нет БУ")</f>
        <v>2</v>
      </c>
      <c r="D39" s="50" t="n">
        <f aca="false">IF(D34&gt;0,D36/D34,"нет БУ")</f>
        <v>2</v>
      </c>
      <c r="E39" s="50" t="n">
        <f aca="false">IF(E34&gt;0,E36/E34,"нет БУ")</f>
        <v>2.5</v>
      </c>
      <c r="F39" s="50" t="n">
        <f aca="false">IF(F34&gt;0,F36/F34,"нет БУ")</f>
        <v>2.5</v>
      </c>
    </row>
    <row r="40" customFormat="false" ht="15" hidden="false" customHeight="false" outlineLevel="0" collapsed="false">
      <c r="B40" s="44" t="s">
        <v>431</v>
      </c>
      <c r="C40" s="45" t="n">
        <f aca="false">IF(AND(ISNUMBER(C39),Воронка!$E$13*C32&gt;0),C39/(Воронка!$E$13*C32),"нет БУ")</f>
        <v>160</v>
      </c>
      <c r="D40" s="45" t="n">
        <f aca="false">IF(AND(ISNUMBER(D39),Воронка!$E$13*D32&gt;0),D39/(Воронка!$E$13*D32),"нет БУ")</f>
        <v>640</v>
      </c>
      <c r="E40" s="45" t="n">
        <f aca="false">IF(AND(ISNUMBER(E39),Воронка!$E$13*E32&gt;0),E39/(Воронка!$E$13*E32),"нет БУ")</f>
        <v>200</v>
      </c>
      <c r="F40" s="45" t="n">
        <f aca="false">IF(AND(ISNUMBER(F39),Воронка!$E$13*F32&gt;0),F39/(Воронка!$E$13*F32),"нет БУ")</f>
        <v>800</v>
      </c>
    </row>
    <row r="41" customFormat="false" ht="15" hidden="false" customHeight="false" outlineLevel="0" collapsed="false">
      <c r="B41" s="44" t="s">
        <v>389</v>
      </c>
      <c r="C41" s="50" t="str">
        <f aca="false">IF(Сценарии_BEP!$E$24&lt;=0,"нет данных о разработке",IF(C37&gt;0,Сценарии_BEP!$E$24/C37,"не окупается"))</f>
        <v>нет данных о разработке</v>
      </c>
      <c r="D41" s="50" t="str">
        <f aca="false">IF(Сценарии_BEP!$E$24&lt;=0,"нет данных о разработке",IF(D37&gt;0,Сценарии_BEP!$E$24/D37,"не окупается"))</f>
        <v>нет данных о разработке</v>
      </c>
      <c r="E41" s="50" t="str">
        <f aca="false">IF(Сценарии_BEP!$E$24&lt;=0,"нет данных о разработке",IF(E37&gt;0,Сценарии_BEP!$E$24/E37,"не окупается"))</f>
        <v>нет данных о разработке</v>
      </c>
      <c r="F41" s="50" t="str">
        <f aca="false">IF(Сценарии_BEP!$E$24&lt;=0,"нет данных о разработке",IF(F37&gt;0,Сценарии_BEP!$E$24/F37,"не окупается"))</f>
        <v>нет данных о разработке</v>
      </c>
    </row>
    <row r="43" customFormat="false" ht="15" hidden="false" customHeight="false" outlineLevel="0" collapsed="false">
      <c r="B43" s="42" t="s">
        <v>434</v>
      </c>
      <c r="C43" s="43"/>
      <c r="D43" s="43"/>
      <c r="E43" s="43"/>
      <c r="F43" s="43"/>
    </row>
    <row r="44" customFormat="false" ht="15" hidden="false" customHeight="false" outlineLevel="0" collapsed="false">
      <c r="B44" s="40" t="s">
        <v>287</v>
      </c>
      <c r="C44" s="41" t="s">
        <v>13</v>
      </c>
      <c r="D44" s="41" t="s">
        <v>14</v>
      </c>
      <c r="E44" s="41" t="s">
        <v>15</v>
      </c>
      <c r="F44" s="41" t="s">
        <v>435</v>
      </c>
    </row>
    <row r="45" customFormat="false" ht="68.65" hidden="false" customHeight="false" outlineLevel="0" collapsed="false">
      <c r="B45" s="44" t="s">
        <v>436</v>
      </c>
      <c r="C45" s="45" t="n">
        <f aca="false">$C$9-$D$9</f>
        <v>67500</v>
      </c>
      <c r="D45" s="45" t="n">
        <f aca="false">$C$22-$D$22</f>
        <v>787500</v>
      </c>
      <c r="E45" s="45" t="n">
        <f aca="false">$C$35-$D$35</f>
        <v>4218750</v>
      </c>
      <c r="F45" s="46" t="s">
        <v>437</v>
      </c>
    </row>
    <row r="46" customFormat="false" ht="91" hidden="false" customHeight="false" outlineLevel="0" collapsed="false">
      <c r="B46" s="44" t="s">
        <v>438</v>
      </c>
      <c r="C46" s="45" t="n">
        <f aca="false">$C$9-$E$9</f>
        <v>18000</v>
      </c>
      <c r="D46" s="45" t="n">
        <f aca="false">$C$22-$E$22</f>
        <v>210000</v>
      </c>
      <c r="E46" s="45" t="n">
        <f aca="false">$C$35-$E$35</f>
        <v>1125000</v>
      </c>
      <c r="F46" s="46" t="s">
        <v>439</v>
      </c>
    </row>
    <row r="48" customFormat="false" ht="15" hidden="false" customHeight="false" outlineLevel="0" collapsed="false">
      <c r="B48" s="2" t="s">
        <v>440</v>
      </c>
    </row>
    <row r="49" customFormat="false" ht="15" hidden="false" customHeight="false" outlineLevel="0" collapsed="false">
      <c r="B49" s="2" t="s">
        <v>441</v>
      </c>
    </row>
    <row r="50" customFormat="false" ht="15" hidden="false" customHeight="false" outlineLevel="0" collapsed="false">
      <c r="B50" s="2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5" min="3" style="0" width="20"/>
    <col collapsed="false" customWidth="true" hidden="false" outlineLevel="0" max="8" min="6" style="0" width="18"/>
  </cols>
  <sheetData>
    <row r="1" customFormat="false" ht="17.35" hidden="false" customHeight="false" outlineLevel="0" collapsed="false">
      <c r="A1" s="1" t="s">
        <v>443</v>
      </c>
    </row>
    <row r="2" customFormat="false" ht="15" hidden="false" customHeight="false" outlineLevel="0" collapsed="false">
      <c r="A2" s="2" t="s">
        <v>444</v>
      </c>
    </row>
    <row r="4" customFormat="false" ht="15" hidden="false" customHeight="false" outlineLevel="0" collapsed="false">
      <c r="B4" s="58" t="s">
        <v>445</v>
      </c>
      <c r="C4" s="43"/>
      <c r="D4" s="43"/>
      <c r="E4" s="43"/>
      <c r="F4" s="43"/>
      <c r="G4" s="43"/>
    </row>
    <row r="5" customFormat="false" ht="15" hidden="false" customHeight="false" outlineLevel="0" collapsed="false">
      <c r="B5" s="2" t="s">
        <v>446</v>
      </c>
    </row>
    <row r="6" customFormat="false" ht="15" hidden="false" customHeight="false" outlineLevel="0" collapsed="false">
      <c r="C6" s="59" t="n">
        <v>0.01</v>
      </c>
      <c r="D6" s="59" t="n">
        <v>0.02</v>
      </c>
      <c r="E6" s="59" t="n">
        <v>0.035</v>
      </c>
      <c r="F6" s="59" t="n">
        <v>0.05</v>
      </c>
      <c r="G6" s="59" t="n">
        <v>0.07</v>
      </c>
    </row>
    <row r="7" customFormat="false" ht="15" hidden="false" customHeight="false" outlineLevel="0" collapsed="false">
      <c r="B7" s="60" t="n">
        <v>0.1</v>
      </c>
      <c r="C7" s="51" t="n">
        <f aca="false">Воронка!$D$6*$B7*C$6*Воронка!$D$11*Воронка!$D$17</f>
        <v>0.3</v>
      </c>
      <c r="D7" s="51" t="n">
        <f aca="false">Воронка!$D$6*$B7*D$6*Воронка!$D$11*Воронка!$D$17</f>
        <v>0.6</v>
      </c>
      <c r="E7" s="51" t="n">
        <f aca="false">Воронка!$D$6*$B7*E$6*Воронка!$D$11*Воронка!$D$17</f>
        <v>1.05</v>
      </c>
      <c r="F7" s="51" t="n">
        <f aca="false">Воронка!$D$6*$B7*F$6*Воронка!$D$11*Воронка!$D$17</f>
        <v>1.5</v>
      </c>
      <c r="G7" s="51" t="n">
        <f aca="false">Воронка!$D$6*$B7*G$6*Воронка!$D$11*Воронка!$D$17</f>
        <v>2.1</v>
      </c>
    </row>
    <row r="8" customFormat="false" ht="15" hidden="false" customHeight="false" outlineLevel="0" collapsed="false">
      <c r="B8" s="60" t="n">
        <v>0.15</v>
      </c>
      <c r="C8" s="51" t="n">
        <f aca="false">Воронка!$D$6*$B8*C$6*Воронка!$D$11*Воронка!$D$17</f>
        <v>0.45</v>
      </c>
      <c r="D8" s="51" t="n">
        <f aca="false">Воронка!$D$6*$B8*D$6*Воронка!$D$11*Воронка!$D$17</f>
        <v>0.9</v>
      </c>
      <c r="E8" s="51" t="n">
        <f aca="false">Воронка!$D$6*$B8*E$6*Воронка!$D$11*Воронка!$D$17</f>
        <v>1.575</v>
      </c>
      <c r="F8" s="51" t="n">
        <f aca="false">Воронка!$D$6*$B8*F$6*Воронка!$D$11*Воронка!$D$17</f>
        <v>2.25</v>
      </c>
      <c r="G8" s="51" t="n">
        <f aca="false">Воронка!$D$6*$B8*G$6*Воронка!$D$11*Воронка!$D$17</f>
        <v>3.15</v>
      </c>
    </row>
    <row r="9" customFormat="false" ht="15" hidden="false" customHeight="false" outlineLevel="0" collapsed="false">
      <c r="B9" s="60" t="n">
        <v>0.2</v>
      </c>
      <c r="C9" s="51" t="n">
        <f aca="false">Воронка!$D$6*$B9*C$6*Воронка!$D$11*Воронка!$D$17</f>
        <v>0.6</v>
      </c>
      <c r="D9" s="51" t="n">
        <f aca="false">Воронка!$D$6*$B9*D$6*Воронка!$D$11*Воронка!$D$17</f>
        <v>1.2</v>
      </c>
      <c r="E9" s="51" t="n">
        <f aca="false">Воронка!$D$6*$B9*E$6*Воронка!$D$11*Воронка!$D$17</f>
        <v>2.1</v>
      </c>
      <c r="F9" s="51" t="n">
        <f aca="false">Воронка!$D$6*$B9*F$6*Воронка!$D$11*Воронка!$D$17</f>
        <v>3</v>
      </c>
      <c r="G9" s="51" t="n">
        <f aca="false">Воронка!$D$6*$B9*G$6*Воронка!$D$11*Воронка!$D$17</f>
        <v>4.2</v>
      </c>
    </row>
    <row r="10" customFormat="false" ht="15" hidden="false" customHeight="false" outlineLevel="0" collapsed="false">
      <c r="B10" s="60" t="n">
        <v>0.25</v>
      </c>
      <c r="C10" s="51" t="n">
        <f aca="false">Воронка!$D$6*$B10*C$6*Воронка!$D$11*Воронка!$D$17</f>
        <v>0.75</v>
      </c>
      <c r="D10" s="51" t="n">
        <f aca="false">Воронка!$D$6*$B10*D$6*Воронка!$D$11*Воронка!$D$17</f>
        <v>1.5</v>
      </c>
      <c r="E10" s="51" t="n">
        <f aca="false">Воронка!$D$6*$B10*E$6*Воронка!$D$11*Воронка!$D$17</f>
        <v>2.625</v>
      </c>
      <c r="F10" s="51" t="n">
        <f aca="false">Воронка!$D$6*$B10*F$6*Воронка!$D$11*Воронка!$D$17</f>
        <v>3.75</v>
      </c>
      <c r="G10" s="51" t="n">
        <f aca="false">Воронка!$D$6*$B10*G$6*Воронка!$D$11*Воронка!$D$17</f>
        <v>5.25</v>
      </c>
    </row>
    <row r="11" customFormat="false" ht="15" hidden="false" customHeight="false" outlineLevel="0" collapsed="false">
      <c r="B11" s="60" t="n">
        <v>0.3</v>
      </c>
      <c r="C11" s="51" t="n">
        <f aca="false">Воронка!$D$6*$B11*C$6*Воронка!$D$11*Воронка!$D$17</f>
        <v>0.9</v>
      </c>
      <c r="D11" s="51" t="n">
        <f aca="false">Воронка!$D$6*$B11*D$6*Воронка!$D$11*Воронка!$D$17</f>
        <v>1.8</v>
      </c>
      <c r="E11" s="51" t="n">
        <f aca="false">Воронка!$D$6*$B11*E$6*Воронка!$D$11*Воронка!$D$17</f>
        <v>3.15</v>
      </c>
      <c r="F11" s="51" t="n">
        <f aca="false">Воронка!$D$6*$B11*F$6*Воронка!$D$11*Воронка!$D$17</f>
        <v>4.5</v>
      </c>
      <c r="G11" s="51" t="n">
        <f aca="false">Воронка!$D$6*$B11*G$6*Воронка!$D$11*Воронка!$D$17</f>
        <v>6.3</v>
      </c>
    </row>
    <row r="12" customFormat="false" ht="15" hidden="false" customHeight="false" outlineLevel="0" collapsed="false">
      <c r="B12" s="2" t="s">
        <v>447</v>
      </c>
    </row>
    <row r="14" customFormat="false" ht="15" hidden="false" customHeight="false" outlineLevel="0" collapsed="false">
      <c r="B14" s="58" t="s">
        <v>448</v>
      </c>
      <c r="C14" s="43"/>
      <c r="D14" s="43"/>
      <c r="E14" s="43"/>
      <c r="F14" s="43"/>
      <c r="G14" s="43"/>
    </row>
    <row r="15" customFormat="false" ht="15" hidden="false" customHeight="false" outlineLevel="0" collapsed="false">
      <c r="B15" s="2" t="s">
        <v>446</v>
      </c>
    </row>
    <row r="16" customFormat="false" ht="15" hidden="false" customHeight="false" outlineLevel="0" collapsed="false">
      <c r="C16" s="59" t="n">
        <v>0.01</v>
      </c>
      <c r="D16" s="59" t="n">
        <v>0.02</v>
      </c>
      <c r="E16" s="59" t="n">
        <v>0.035</v>
      </c>
      <c r="F16" s="59" t="n">
        <v>0.05</v>
      </c>
      <c r="G16" s="59" t="n">
        <v>0.07</v>
      </c>
    </row>
    <row r="17" customFormat="false" ht="15" hidden="false" customHeight="false" outlineLevel="0" collapsed="false">
      <c r="B17" s="60" t="n">
        <v>0.1</v>
      </c>
      <c r="C17" s="45" t="n">
        <f aca="false">Воронка!$D$6*$B17*C$16*Воронка!$D$11*Воронка!$D$17*'Юнит-экономика'!$D$32-Сценарии_BEP!$D$15</f>
        <v>-850000</v>
      </c>
      <c r="D17" s="45" t="n">
        <f aca="false">Воронка!$D$6*$B17*D$16*Воронка!$D$11*Воронка!$D$17*'Юнит-экономика'!$D$32-Сценарии_BEP!$D$15</f>
        <v>-700000</v>
      </c>
      <c r="E17" s="45" t="n">
        <f aca="false">Воронка!$D$6*$B17*E$16*Воронка!$D$11*Воронка!$D$17*'Юнит-экономика'!$D$32-Сценарии_BEP!$D$15</f>
        <v>-475000</v>
      </c>
      <c r="F17" s="45" t="n">
        <f aca="false">Воронка!$D$6*$B17*F$16*Воронка!$D$11*Воронка!$D$17*'Юнит-экономика'!$D$32-Сценарии_BEP!$D$15</f>
        <v>-250000</v>
      </c>
      <c r="G17" s="45" t="n">
        <f aca="false">Воронка!$D$6*$B17*G$16*Воронка!$D$11*Воронка!$D$17*'Юнит-экономика'!$D$32-Сценарии_BEP!$D$15</f>
        <v>50000</v>
      </c>
    </row>
    <row r="18" customFormat="false" ht="15" hidden="false" customHeight="false" outlineLevel="0" collapsed="false">
      <c r="B18" s="60" t="n">
        <v>0.15</v>
      </c>
      <c r="C18" s="45" t="n">
        <f aca="false">Воронка!$D$6*$B18*C$16*Воронка!$D$11*Воронка!$D$17*'Юнит-экономика'!$D$32-Сценарии_BEP!$D$15</f>
        <v>-775000</v>
      </c>
      <c r="D18" s="45" t="n">
        <f aca="false">Воронка!$D$6*$B18*D$16*Воронка!$D$11*Воронка!$D$17*'Юнит-экономика'!$D$32-Сценарии_BEP!$D$15</f>
        <v>-550000</v>
      </c>
      <c r="E18" s="45" t="n">
        <f aca="false">Воронка!$D$6*$B18*E$16*Воронка!$D$11*Воронка!$D$17*'Юнит-экономика'!$D$32-Сценарии_BEP!$D$15</f>
        <v>-212500</v>
      </c>
      <c r="F18" s="45" t="n">
        <f aca="false">Воронка!$D$6*$B18*F$16*Воронка!$D$11*Воронка!$D$17*'Юнит-экономика'!$D$32-Сценарии_BEP!$D$15</f>
        <v>125000</v>
      </c>
      <c r="G18" s="45" t="n">
        <f aca="false">Воронка!$D$6*$B18*G$16*Воронка!$D$11*Воронка!$D$17*'Юнит-экономика'!$D$32-Сценарии_BEP!$D$15</f>
        <v>575000</v>
      </c>
    </row>
    <row r="19" customFormat="false" ht="15" hidden="false" customHeight="false" outlineLevel="0" collapsed="false">
      <c r="B19" s="60" t="n">
        <v>0.2</v>
      </c>
      <c r="C19" s="45" t="n">
        <f aca="false">Воронка!$D$6*$B19*C$16*Воронка!$D$11*Воронка!$D$17*'Юнит-экономика'!$D$32-Сценарии_BEP!$D$15</f>
        <v>-700000</v>
      </c>
      <c r="D19" s="45" t="n">
        <f aca="false">Воронка!$D$6*$B19*D$16*Воронка!$D$11*Воронка!$D$17*'Юнит-экономика'!$D$32-Сценарии_BEP!$D$15</f>
        <v>-400000</v>
      </c>
      <c r="E19" s="45" t="n">
        <f aca="false">Воронка!$D$6*$B19*E$16*Воронка!$D$11*Воронка!$D$17*'Юнит-экономика'!$D$32-Сценарии_BEP!$D$15</f>
        <v>50000</v>
      </c>
      <c r="F19" s="45" t="n">
        <f aca="false">Воронка!$D$6*$B19*F$16*Воронка!$D$11*Воронка!$D$17*'Юнит-экономика'!$D$32-Сценарии_BEP!$D$15</f>
        <v>500000</v>
      </c>
      <c r="G19" s="45" t="n">
        <f aca="false">Воронка!$D$6*$B19*G$16*Воронка!$D$11*Воронка!$D$17*'Юнит-экономика'!$D$32-Сценарии_BEP!$D$15</f>
        <v>1100000</v>
      </c>
    </row>
    <row r="20" customFormat="false" ht="15" hidden="false" customHeight="false" outlineLevel="0" collapsed="false">
      <c r="B20" s="60" t="n">
        <v>0.25</v>
      </c>
      <c r="C20" s="45" t="n">
        <f aca="false">Воронка!$D$6*$B20*C$16*Воронка!$D$11*Воронка!$D$17*'Юнит-экономика'!$D$32-Сценарии_BEP!$D$15</f>
        <v>-625000</v>
      </c>
      <c r="D20" s="45" t="n">
        <f aca="false">Воронка!$D$6*$B20*D$16*Воронка!$D$11*Воронка!$D$17*'Юнит-экономика'!$D$32-Сценарии_BEP!$D$15</f>
        <v>-250000</v>
      </c>
      <c r="E20" s="45" t="n">
        <f aca="false">Воронка!$D$6*$B20*E$16*Воронка!$D$11*Воронка!$D$17*'Юнит-экономика'!$D$32-Сценарии_BEP!$D$15</f>
        <v>312500</v>
      </c>
      <c r="F20" s="45" t="n">
        <f aca="false">Воронка!$D$6*$B20*F$16*Воронка!$D$11*Воронка!$D$17*'Юнит-экономика'!$D$32-Сценарии_BEP!$D$15</f>
        <v>875000</v>
      </c>
      <c r="G20" s="45" t="n">
        <f aca="false">Воронка!$D$6*$B20*G$16*Воронка!$D$11*Воронка!$D$17*'Юнит-экономика'!$D$32-Сценарии_BEP!$D$15</f>
        <v>1625000</v>
      </c>
    </row>
    <row r="21" customFormat="false" ht="15" hidden="false" customHeight="false" outlineLevel="0" collapsed="false">
      <c r="B21" s="60" t="n">
        <v>0.3</v>
      </c>
      <c r="C21" s="45" t="n">
        <f aca="false">Воронка!$D$6*$B21*C$16*Воронка!$D$11*Воронка!$D$17*'Юнит-экономика'!$D$32-Сценарии_BEP!$D$15</f>
        <v>-550000</v>
      </c>
      <c r="D21" s="45" t="n">
        <f aca="false">Воронка!$D$6*$B21*D$16*Воронка!$D$11*Воронка!$D$17*'Юнит-экономика'!$D$32-Сценарии_BEP!$D$15</f>
        <v>-100000</v>
      </c>
      <c r="E21" s="45" t="n">
        <f aca="false">Воронка!$D$6*$B21*E$16*Воронка!$D$11*Воронка!$D$17*'Юнит-экономика'!$D$32-Сценарии_BEP!$D$15</f>
        <v>575000</v>
      </c>
      <c r="F21" s="45" t="n">
        <f aca="false">Воронка!$D$6*$B21*F$16*Воронка!$D$11*Воронка!$D$17*'Юнит-экономика'!$D$32-Сценарии_BEP!$D$15</f>
        <v>1250000</v>
      </c>
      <c r="G21" s="45" t="n">
        <f aca="false">Воронка!$D$6*$B21*G$16*Воронка!$D$11*Воронка!$D$17*'Юнит-экономика'!$D$32-Сценарии_BEP!$D$15</f>
        <v>2150000</v>
      </c>
    </row>
    <row r="23" customFormat="false" ht="15" hidden="false" customHeight="false" outlineLevel="0" collapsed="false">
      <c r="B23" s="58" t="s">
        <v>449</v>
      </c>
      <c r="C23" s="43"/>
      <c r="D23" s="43"/>
      <c r="E23" s="43"/>
      <c r="F23" s="43"/>
      <c r="G23" s="43"/>
    </row>
    <row r="24" customFormat="false" ht="15" hidden="false" customHeight="false" outlineLevel="0" collapsed="false">
      <c r="B24" s="2" t="s">
        <v>450</v>
      </c>
    </row>
    <row r="25" customFormat="false" ht="15" hidden="false" customHeight="false" outlineLevel="0" collapsed="false">
      <c r="C25" s="61" t="n">
        <v>1000000</v>
      </c>
      <c r="D25" s="61" t="n">
        <v>1500000</v>
      </c>
      <c r="E25" s="61" t="n">
        <v>2000000</v>
      </c>
      <c r="F25" s="61" t="n">
        <v>3000000</v>
      </c>
      <c r="G25" s="61" t="n">
        <v>5000000</v>
      </c>
    </row>
    <row r="26" customFormat="false" ht="15" hidden="false" customHeight="false" outlineLevel="0" collapsed="false">
      <c r="B26" s="62" t="n">
        <v>200000</v>
      </c>
      <c r="C26" s="50" t="n">
        <f aca="false">IF($B26&gt;0,C$25/$B26,"нет БУ")</f>
        <v>5</v>
      </c>
      <c r="D26" s="50" t="n">
        <f aca="false">IF($B26&gt;0,D$25/$B26,"нет БУ")</f>
        <v>7.5</v>
      </c>
      <c r="E26" s="50" t="n">
        <f aca="false">IF($B26&gt;0,E$25/$B26,"нет БУ")</f>
        <v>10</v>
      </c>
      <c r="F26" s="50" t="n">
        <f aca="false">IF($B26&gt;0,F$25/$B26,"нет БУ")</f>
        <v>15</v>
      </c>
      <c r="G26" s="50" t="n">
        <f aca="false">IF($B26&gt;0,G$25/$B26,"нет БУ")</f>
        <v>25</v>
      </c>
    </row>
    <row r="27" customFormat="false" ht="15" hidden="false" customHeight="false" outlineLevel="0" collapsed="false">
      <c r="B27" s="62" t="n">
        <v>300000</v>
      </c>
      <c r="C27" s="50" t="n">
        <f aca="false">IF($B27&gt;0,C$25/$B27,"нет БУ")</f>
        <v>3.33333333333333</v>
      </c>
      <c r="D27" s="50" t="n">
        <f aca="false">IF($B27&gt;0,D$25/$B27,"нет БУ")</f>
        <v>5</v>
      </c>
      <c r="E27" s="50" t="n">
        <f aca="false">IF($B27&gt;0,E$25/$B27,"нет БУ")</f>
        <v>6.66666666666667</v>
      </c>
      <c r="F27" s="50" t="n">
        <f aca="false">IF($B27&gt;0,F$25/$B27,"нет БУ")</f>
        <v>10</v>
      </c>
      <c r="G27" s="50" t="n">
        <f aca="false">IF($B27&gt;0,G$25/$B27,"нет БУ")</f>
        <v>16.6666666666667</v>
      </c>
    </row>
    <row r="28" customFormat="false" ht="15" hidden="false" customHeight="false" outlineLevel="0" collapsed="false">
      <c r="B28" s="62" t="n">
        <v>400000</v>
      </c>
      <c r="C28" s="50" t="n">
        <f aca="false">IF($B28&gt;0,C$25/$B28,"нет БУ")</f>
        <v>2.5</v>
      </c>
      <c r="D28" s="50" t="n">
        <f aca="false">IF($B28&gt;0,D$25/$B28,"нет БУ")</f>
        <v>3.75</v>
      </c>
      <c r="E28" s="50" t="n">
        <f aca="false">IF($B28&gt;0,E$25/$B28,"нет БУ")</f>
        <v>5</v>
      </c>
      <c r="F28" s="50" t="n">
        <f aca="false">IF($B28&gt;0,F$25/$B28,"нет БУ")</f>
        <v>7.5</v>
      </c>
      <c r="G28" s="50" t="n">
        <f aca="false">IF($B28&gt;0,G$25/$B28,"нет БУ")</f>
        <v>12.5</v>
      </c>
    </row>
    <row r="29" customFormat="false" ht="15" hidden="false" customHeight="false" outlineLevel="0" collapsed="false">
      <c r="B29" s="62" t="n">
        <v>500000</v>
      </c>
      <c r="C29" s="50" t="n">
        <f aca="false">IF($B29&gt;0,C$25/$B29,"нет БУ")</f>
        <v>2</v>
      </c>
      <c r="D29" s="50" t="n">
        <f aca="false">IF($B29&gt;0,D$25/$B29,"нет БУ")</f>
        <v>3</v>
      </c>
      <c r="E29" s="50" t="n">
        <f aca="false">IF($B29&gt;0,E$25/$B29,"нет БУ")</f>
        <v>4</v>
      </c>
      <c r="F29" s="50" t="n">
        <f aca="false">IF($B29&gt;0,F$25/$B29,"нет БУ")</f>
        <v>6</v>
      </c>
      <c r="G29" s="50" t="n">
        <f aca="false">IF($B29&gt;0,G$25/$B29,"нет БУ")</f>
        <v>10</v>
      </c>
    </row>
    <row r="30" customFormat="false" ht="15" hidden="false" customHeight="false" outlineLevel="0" collapsed="false">
      <c r="B30" s="62" t="n">
        <v>600000</v>
      </c>
      <c r="C30" s="50" t="n">
        <f aca="false">IF($B30&gt;0,C$25/$B30,"нет БУ")</f>
        <v>1.66666666666667</v>
      </c>
      <c r="D30" s="50" t="n">
        <f aca="false">IF($B30&gt;0,D$25/$B30,"нет БУ")</f>
        <v>2.5</v>
      </c>
      <c r="E30" s="50" t="n">
        <f aca="false">IF($B30&gt;0,E$25/$B30,"нет БУ")</f>
        <v>3.33333333333333</v>
      </c>
      <c r="F30" s="50" t="n">
        <f aca="false">IF($B30&gt;0,F$25/$B30,"нет БУ")</f>
        <v>5</v>
      </c>
      <c r="G30" s="50" t="n">
        <f aca="false">IF($B30&gt;0,G$25/$B30,"нет БУ")</f>
        <v>8.33333333333333</v>
      </c>
    </row>
    <row r="31" customFormat="false" ht="15" hidden="false" customHeight="false" outlineLevel="0" collapsed="false">
      <c r="B31" s="2" t="s">
        <v>451</v>
      </c>
    </row>
    <row r="33" customFormat="false" ht="15" hidden="false" customHeight="false" outlineLevel="0" collapsed="false">
      <c r="B33" s="58" t="s">
        <v>452</v>
      </c>
      <c r="C33" s="43"/>
      <c r="D33" s="43"/>
      <c r="E33" s="43"/>
      <c r="F33" s="43"/>
      <c r="G33" s="43"/>
    </row>
    <row r="34" customFormat="false" ht="15" hidden="false" customHeight="false" outlineLevel="0" collapsed="false">
      <c r="B34" s="2" t="s">
        <v>450</v>
      </c>
    </row>
    <row r="35" customFormat="false" ht="15" hidden="false" customHeight="false" outlineLevel="0" collapsed="false">
      <c r="C35" s="61" t="n">
        <v>1000000</v>
      </c>
      <c r="D35" s="61" t="n">
        <v>1500000</v>
      </c>
      <c r="E35" s="61" t="n">
        <v>2000000</v>
      </c>
      <c r="F35" s="61" t="n">
        <v>3000000</v>
      </c>
      <c r="G35" s="61" t="n">
        <v>5000000</v>
      </c>
    </row>
    <row r="36" customFormat="false" ht="15" hidden="false" customHeight="false" outlineLevel="0" collapsed="false">
      <c r="B36" s="62" t="n">
        <v>200000</v>
      </c>
      <c r="C36" s="45" t="n">
        <f aca="false">IF(AND($B36&gt;0,Сценарии_BEP!$D$28&gt;0),C$35/$B36/Сценарии_BEP!$D$28,"нет БУ")</f>
        <v>714.285714285714</v>
      </c>
      <c r="D36" s="45" t="n">
        <f aca="false">IF(AND($B36&gt;0,Сценарии_BEP!$D$28&gt;0),D$35/$B36/Сценарии_BEP!$D$28,"нет БУ")</f>
        <v>1071.42857142857</v>
      </c>
      <c r="E36" s="45" t="n">
        <f aca="false">IF(AND($B36&gt;0,Сценарии_BEP!$D$28&gt;0),E$35/$B36/Сценарии_BEP!$D$28,"нет БУ")</f>
        <v>1428.57142857143</v>
      </c>
      <c r="F36" s="45" t="n">
        <f aca="false">IF(AND($B36&gt;0,Сценарии_BEP!$D$28&gt;0),F$35/$B36/Сценарии_BEP!$D$28,"нет БУ")</f>
        <v>2142.85714285714</v>
      </c>
      <c r="G36" s="45" t="n">
        <f aca="false">IF(AND($B36&gt;0,Сценарии_BEP!$D$28&gt;0),G$35/$B36/Сценарии_BEP!$D$28,"нет БУ")</f>
        <v>3571.42857142857</v>
      </c>
    </row>
    <row r="37" customFormat="false" ht="15" hidden="false" customHeight="false" outlineLevel="0" collapsed="false">
      <c r="B37" s="62" t="n">
        <v>300000</v>
      </c>
      <c r="C37" s="45" t="n">
        <f aca="false">IF(AND($B37&gt;0,Сценарии_BEP!$D$28&gt;0),C$35/$B37/Сценарии_BEP!$D$28,"нет БУ")</f>
        <v>476.190476190476</v>
      </c>
      <c r="D37" s="45" t="n">
        <f aca="false">IF(AND($B37&gt;0,Сценарии_BEP!$D$28&gt;0),D$35/$B37/Сценарии_BEP!$D$28,"нет БУ")</f>
        <v>714.285714285714</v>
      </c>
      <c r="E37" s="45" t="n">
        <f aca="false">IF(AND($B37&gt;0,Сценарии_BEP!$D$28&gt;0),E$35/$B37/Сценарии_BEP!$D$28,"нет БУ")</f>
        <v>952.380952380952</v>
      </c>
      <c r="F37" s="45" t="n">
        <f aca="false">IF(AND($B37&gt;0,Сценарии_BEP!$D$28&gt;0),F$35/$B37/Сценарии_BEP!$D$28,"нет БУ")</f>
        <v>1428.57142857143</v>
      </c>
      <c r="G37" s="45" t="n">
        <f aca="false">IF(AND($B37&gt;0,Сценарии_BEP!$D$28&gt;0),G$35/$B37/Сценарии_BEP!$D$28,"нет БУ")</f>
        <v>2380.95238095238</v>
      </c>
    </row>
    <row r="38" customFormat="false" ht="15" hidden="false" customHeight="false" outlineLevel="0" collapsed="false">
      <c r="B38" s="62" t="n">
        <v>400000</v>
      </c>
      <c r="C38" s="45" t="n">
        <f aca="false">IF(AND($B38&gt;0,Сценарии_BEP!$D$28&gt;0),C$35/$B38/Сценарии_BEP!$D$28,"нет БУ")</f>
        <v>357.142857142857</v>
      </c>
      <c r="D38" s="45" t="n">
        <f aca="false">IF(AND($B38&gt;0,Сценарии_BEP!$D$28&gt;0),D$35/$B38/Сценарии_BEP!$D$28,"нет БУ")</f>
        <v>535.714285714286</v>
      </c>
      <c r="E38" s="45" t="n">
        <f aca="false">IF(AND($B38&gt;0,Сценарии_BEP!$D$28&gt;0),E$35/$B38/Сценарии_BEP!$D$28,"нет БУ")</f>
        <v>714.285714285714</v>
      </c>
      <c r="F38" s="45" t="n">
        <f aca="false">IF(AND($B38&gt;0,Сценарии_BEP!$D$28&gt;0),F$35/$B38/Сценарии_BEP!$D$28,"нет БУ")</f>
        <v>1071.42857142857</v>
      </c>
      <c r="G38" s="45" t="n">
        <f aca="false">IF(AND($B38&gt;0,Сценарии_BEP!$D$28&gt;0),G$35/$B38/Сценарии_BEP!$D$28,"нет БУ")</f>
        <v>1785.71428571429</v>
      </c>
    </row>
    <row r="39" customFormat="false" ht="15" hidden="false" customHeight="false" outlineLevel="0" collapsed="false">
      <c r="B39" s="62" t="n">
        <v>500000</v>
      </c>
      <c r="C39" s="45" t="n">
        <f aca="false">IF(AND($B39&gt;0,Сценарии_BEP!$D$28&gt;0),C$35/$B39/Сценарии_BEP!$D$28,"нет БУ")</f>
        <v>285.714285714286</v>
      </c>
      <c r="D39" s="45" t="n">
        <f aca="false">IF(AND($B39&gt;0,Сценарии_BEP!$D$28&gt;0),D$35/$B39/Сценарии_BEP!$D$28,"нет БУ")</f>
        <v>428.571428571429</v>
      </c>
      <c r="E39" s="45" t="n">
        <f aca="false">IF(AND($B39&gt;0,Сценарии_BEP!$D$28&gt;0),E$35/$B39/Сценарии_BEP!$D$28,"нет БУ")</f>
        <v>571.428571428571</v>
      </c>
      <c r="F39" s="45" t="n">
        <f aca="false">IF(AND($B39&gt;0,Сценарии_BEP!$D$28&gt;0),F$35/$B39/Сценарии_BEP!$D$28,"нет БУ")</f>
        <v>857.142857142857</v>
      </c>
      <c r="G39" s="45" t="n">
        <f aca="false">IF(AND($B39&gt;0,Сценарии_BEP!$D$28&gt;0),G$35/$B39/Сценарии_BEP!$D$28,"нет БУ")</f>
        <v>1428.57142857143</v>
      </c>
    </row>
    <row r="40" customFormat="false" ht="15" hidden="false" customHeight="false" outlineLevel="0" collapsed="false">
      <c r="B40" s="62" t="n">
        <v>600000</v>
      </c>
      <c r="C40" s="45" t="n">
        <f aca="false">IF(AND($B40&gt;0,Сценарии_BEP!$D$28&gt;0),C$35/$B40/Сценарии_BEP!$D$28,"нет БУ")</f>
        <v>238.095238095238</v>
      </c>
      <c r="D40" s="45" t="n">
        <f aca="false">IF(AND($B40&gt;0,Сценарии_BEP!$D$28&gt;0),D$35/$B40/Сценарии_BEP!$D$28,"нет БУ")</f>
        <v>357.142857142857</v>
      </c>
      <c r="E40" s="45" t="n">
        <f aca="false">IF(AND($B40&gt;0,Сценарии_BEP!$D$28&gt;0),E$35/$B40/Сценарии_BEP!$D$28,"нет БУ")</f>
        <v>476.190476190476</v>
      </c>
      <c r="F40" s="45" t="n">
        <f aca="false">IF(AND($B40&gt;0,Сценарии_BEP!$D$28&gt;0),F$35/$B40/Сценарии_BEP!$D$28,"нет БУ")</f>
        <v>714.285714285714</v>
      </c>
      <c r="G40" s="45" t="n">
        <f aca="false">IF(AND($B40&gt;0,Сценарии_BEP!$D$28&gt;0),G$35/$B40/Сценарии_BEP!$D$28,"нет БУ")</f>
        <v>1190.47619047619</v>
      </c>
    </row>
    <row r="42" customFormat="false" ht="15" hidden="false" customHeight="false" outlineLevel="0" collapsed="false">
      <c r="B42" s="58" t="s">
        <v>453</v>
      </c>
      <c r="C42" s="43"/>
      <c r="D42" s="43"/>
      <c r="E42" s="43"/>
      <c r="F42" s="43"/>
    </row>
    <row r="43" customFormat="false" ht="15" hidden="false" customHeight="false" outlineLevel="0" collapsed="false">
      <c r="B43" s="2" t="s">
        <v>454</v>
      </c>
    </row>
    <row r="44" customFormat="false" ht="15" hidden="false" customHeight="false" outlineLevel="0" collapsed="false">
      <c r="C44" s="63" t="n">
        <v>0.003</v>
      </c>
      <c r="D44" s="63" t="n">
        <v>0.007</v>
      </c>
      <c r="E44" s="63" t="n">
        <v>0.0125</v>
      </c>
      <c r="F44" s="63" t="n">
        <v>0.02</v>
      </c>
    </row>
    <row r="45" customFormat="false" ht="15" hidden="false" customHeight="false" outlineLevel="0" collapsed="false">
      <c r="B45" s="62" t="n">
        <v>200000</v>
      </c>
      <c r="C45" s="45" t="n">
        <f aca="false">$B45*N('Входные данные'!$F$39)*C$44</f>
        <v>120</v>
      </c>
      <c r="D45" s="45" t="n">
        <f aca="false">$B45*N('Входные данные'!$F$39)*D$44</f>
        <v>280</v>
      </c>
      <c r="E45" s="45" t="n">
        <f aca="false">$B45*N('Входные данные'!$F$39)*E$44</f>
        <v>500</v>
      </c>
      <c r="F45" s="45" t="n">
        <f aca="false">$B45*N('Входные данные'!$F$39)*F$44</f>
        <v>800</v>
      </c>
    </row>
    <row r="46" customFormat="false" ht="15" hidden="false" customHeight="false" outlineLevel="0" collapsed="false">
      <c r="B46" s="62" t="n">
        <v>300000</v>
      </c>
      <c r="C46" s="45" t="n">
        <f aca="false">$B46*N('Входные данные'!$F$39)*C$44</f>
        <v>180</v>
      </c>
      <c r="D46" s="45" t="n">
        <f aca="false">$B46*N('Входные данные'!$F$39)*D$44</f>
        <v>420</v>
      </c>
      <c r="E46" s="45" t="n">
        <f aca="false">$B46*N('Входные данные'!$F$39)*E$44</f>
        <v>750</v>
      </c>
      <c r="F46" s="45" t="n">
        <f aca="false">$B46*N('Входные данные'!$F$39)*F$44</f>
        <v>1200</v>
      </c>
    </row>
    <row r="47" customFormat="false" ht="15" hidden="false" customHeight="false" outlineLevel="0" collapsed="false">
      <c r="B47" s="62" t="n">
        <v>400000</v>
      </c>
      <c r="C47" s="45" t="n">
        <f aca="false">$B47*N('Входные данные'!$F$39)*C$44</f>
        <v>240</v>
      </c>
      <c r="D47" s="45" t="n">
        <f aca="false">$B47*N('Входные данные'!$F$39)*D$44</f>
        <v>560</v>
      </c>
      <c r="E47" s="45" t="n">
        <f aca="false">$B47*N('Входные данные'!$F$39)*E$44</f>
        <v>1000</v>
      </c>
      <c r="F47" s="45" t="n">
        <f aca="false">$B47*N('Входные данные'!$F$39)*F$44</f>
        <v>1600</v>
      </c>
    </row>
    <row r="48" customFormat="false" ht="15" hidden="false" customHeight="false" outlineLevel="0" collapsed="false">
      <c r="B48" s="62" t="n">
        <v>500000</v>
      </c>
      <c r="C48" s="45" t="n">
        <f aca="false">$B48*N('Входные данные'!$F$39)*C$44</f>
        <v>300</v>
      </c>
      <c r="D48" s="45" t="n">
        <f aca="false">$B48*N('Входные данные'!$F$39)*D$44</f>
        <v>700</v>
      </c>
      <c r="E48" s="45" t="n">
        <f aca="false">$B48*N('Входные данные'!$F$39)*E$44</f>
        <v>1250</v>
      </c>
      <c r="F48" s="45" t="n">
        <f aca="false">$B48*N('Входные данные'!$F$39)*F$44</f>
        <v>2000</v>
      </c>
    </row>
    <row r="49" customFormat="false" ht="15" hidden="false" customHeight="false" outlineLevel="0" collapsed="false">
      <c r="B49" s="62" t="n">
        <v>600000</v>
      </c>
      <c r="C49" s="45" t="n">
        <f aca="false">$B49*N('Входные данные'!$F$39)*C$44</f>
        <v>360</v>
      </c>
      <c r="D49" s="45" t="n">
        <f aca="false">$B49*N('Входные данные'!$F$39)*D$44</f>
        <v>840</v>
      </c>
      <c r="E49" s="45" t="n">
        <f aca="false">$B49*N('Входные данные'!$F$39)*E$44</f>
        <v>1500</v>
      </c>
      <c r="F49" s="45" t="n">
        <f aca="false">$B49*N('Входные данные'!$F$39)*F$44</f>
        <v>2400</v>
      </c>
    </row>
    <row r="50" customFormat="false" ht="15" hidden="false" customHeight="false" outlineLevel="0" collapsed="false">
      <c r="B50" s="2" t="s">
        <v>455</v>
      </c>
    </row>
    <row r="52" customFormat="false" ht="15" hidden="false" customHeight="false" outlineLevel="0" collapsed="false">
      <c r="B52" s="58" t="s">
        <v>456</v>
      </c>
      <c r="C52" s="43"/>
      <c r="D52" s="43"/>
      <c r="E52" s="43"/>
      <c r="F52" s="43"/>
      <c r="G52" s="43"/>
    </row>
    <row r="53" customFormat="false" ht="15" hidden="false" customHeight="false" outlineLevel="0" collapsed="false">
      <c r="B53" s="2" t="s">
        <v>457</v>
      </c>
    </row>
    <row r="54" customFormat="false" ht="15" hidden="false" customHeight="false" outlineLevel="0" collapsed="false">
      <c r="C54" s="61" t="n">
        <v>0</v>
      </c>
      <c r="D54" s="61" t="n">
        <v>25000</v>
      </c>
      <c r="E54" s="61" t="n">
        <v>50000</v>
      </c>
      <c r="F54" s="61" t="n">
        <v>100000</v>
      </c>
      <c r="G54" s="61" t="n">
        <v>200000</v>
      </c>
    </row>
    <row r="55" customFormat="false" ht="15" hidden="false" customHeight="false" outlineLevel="0" collapsed="false">
      <c r="B55" s="64" t="n">
        <v>1</v>
      </c>
      <c r="C55" s="45" t="n">
        <f aca="false">IF($B55=1,(N('Входные данные'!$F$54)*(1-N('Входные данные'!$F$60))+N('Входные данные'!$F$55)*(1-N('Входные данные'!$F$61))+N('Входные данные'!$F$56)*(1-N('Входные данные'!$F$62)))*52/12*C$54,IF($B55=2,(N('Входные данные'!$F$54)*(1-N('Входные данные'!$F$60))+N('Входные данные'!$F$55)*(1-N('Входные данные'!$F$61))+N('Входные данные'!$F$56)*(1-N('Входные данные'!$F$62)))*C$54,IF(N('Входные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данные'!$F$53)*C$54,"нужна длительность этапа")))</f>
        <v>0</v>
      </c>
      <c r="D55" s="45" t="n">
        <f aca="false">IF($B55=1,(N('Входные данные'!$F$54)*(1-N('Входные данные'!$F$60))+N('Входные данные'!$F$55)*(1-N('Входные данные'!$F$61))+N('Входные данные'!$F$56)*(1-N('Входные данные'!$F$62)))*52/12*D$54,IF($B55=2,(N('Входные данные'!$F$54)*(1-N('Входные данные'!$F$60))+N('Входные данные'!$F$55)*(1-N('Входные данные'!$F$61))+N('Входные данные'!$F$56)*(1-N('Входные данные'!$F$62)))*D$54,IF(N('Входные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данные'!$F$53)*D$54,"нужна длительность этапа")))</f>
        <v>1895833.33333333</v>
      </c>
      <c r="E55" s="45" t="n">
        <f aca="false">IF($B55=1,(N('Входные данные'!$F$54)*(1-N('Входные данные'!$F$60))+N('Входные данные'!$F$55)*(1-N('Входные данные'!$F$61))+N('Входные данные'!$F$56)*(1-N('Входные данные'!$F$62)))*52/12*E$54,IF($B55=2,(N('Входные данные'!$F$54)*(1-N('Входные данные'!$F$60))+N('Входные данные'!$F$55)*(1-N('Входные данные'!$F$61))+N('Входные данные'!$F$56)*(1-N('Входные данные'!$F$62)))*E$54,IF(N('Входные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данные'!$F$53)*E$54,"нужна длительность этапа")))</f>
        <v>3791666.66666667</v>
      </c>
      <c r="F55" s="45" t="n">
        <f aca="false">IF($B55=1,(N('Входные данные'!$F$54)*(1-N('Входные данные'!$F$60))+N('Входные данные'!$F$55)*(1-N('Входные данные'!$F$61))+N('Входные данные'!$F$56)*(1-N('Входные данные'!$F$62)))*52/12*F$54,IF($B55=2,(N('Входные данные'!$F$54)*(1-N('Входные данные'!$F$60))+N('Входные данные'!$F$55)*(1-N('Входные данные'!$F$61))+N('Входные данные'!$F$56)*(1-N('Входные данные'!$F$62)))*F$54,IF(N('Входные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данные'!$F$53)*F$54,"нужна длительность этапа")))</f>
        <v>7583333.33333333</v>
      </c>
      <c r="G55" s="45" t="n">
        <f aca="false">IF($B55=1,(N('Входные данные'!$F$54)*(1-N('Входные данные'!$F$60))+N('Входные данные'!$F$55)*(1-N('Входные данные'!$F$61))+N('Входные данные'!$F$56)*(1-N('Входные данные'!$F$62)))*52/12*G$54,IF($B55=2,(N('Входные данные'!$F$54)*(1-N('Входные данные'!$F$60))+N('Входные данные'!$F$55)*(1-N('Входные данные'!$F$61))+N('Входные данные'!$F$56)*(1-N('Входные данные'!$F$62)))*G$54,IF(N('Входные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данные'!$F$53)*G$54,"нужна длительность этапа")))</f>
        <v>15166666.6666667</v>
      </c>
    </row>
    <row r="56" customFormat="false" ht="15" hidden="false" customHeight="false" outlineLevel="0" collapsed="false">
      <c r="B56" s="64" t="n">
        <v>2</v>
      </c>
      <c r="C56" s="45" t="n">
        <f aca="false">IF($B56=1,(N('Входные данные'!$F$54)*(1-N('Входные данные'!$F$60))+N('Входные данные'!$F$55)*(1-N('Входные данные'!$F$61))+N('Входные данные'!$F$56)*(1-N('Входные данные'!$F$62)))*52/12*C$54,IF($B56=2,(N('Входные данные'!$F$54)*(1-N('Входные данные'!$F$60))+N('Входные данные'!$F$55)*(1-N('Входные данные'!$F$61))+N('Входные данные'!$F$56)*(1-N('Входные данные'!$F$62)))*C$54,IF(N('Входные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данные'!$F$53)*C$54,"нужна длительность этапа")))</f>
        <v>0</v>
      </c>
      <c r="D56" s="45" t="n">
        <f aca="false">IF($B56=1,(N('Входные данные'!$F$54)*(1-N('Входные данные'!$F$60))+N('Входные данные'!$F$55)*(1-N('Входные данные'!$F$61))+N('Входные данные'!$F$56)*(1-N('Входные данные'!$F$62)))*52/12*D$54,IF($B56=2,(N('Входные данные'!$F$54)*(1-N('Входные данные'!$F$60))+N('Входные данные'!$F$55)*(1-N('Входные данные'!$F$61))+N('Входные данные'!$F$56)*(1-N('Входные данные'!$F$62)))*D$54,IF(N('Входные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данные'!$F$53)*D$54,"нужна длительность этапа")))</f>
        <v>437500</v>
      </c>
      <c r="E56" s="45" t="n">
        <f aca="false">IF($B56=1,(N('Входные данные'!$F$54)*(1-N('Входные данные'!$F$60))+N('Входные данные'!$F$55)*(1-N('Входные данные'!$F$61))+N('Входные данные'!$F$56)*(1-N('Входные данные'!$F$62)))*52/12*E$54,IF($B56=2,(N('Входные данные'!$F$54)*(1-N('Входные данные'!$F$60))+N('Входные данные'!$F$55)*(1-N('Входные данные'!$F$61))+N('Входные данные'!$F$56)*(1-N('Входные данные'!$F$62)))*E$54,IF(N('Входные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данные'!$F$53)*E$54,"нужна длительность этапа")))</f>
        <v>875000</v>
      </c>
      <c r="F56" s="45" t="n">
        <f aca="false">IF($B56=1,(N('Входные данные'!$F$54)*(1-N('Входные данные'!$F$60))+N('Входные данные'!$F$55)*(1-N('Входные данные'!$F$61))+N('Входные данные'!$F$56)*(1-N('Входные данные'!$F$62)))*52/12*F$54,IF($B56=2,(N('Входные данные'!$F$54)*(1-N('Входные данные'!$F$60))+N('Входные данные'!$F$55)*(1-N('Входные данные'!$F$61))+N('Входные данные'!$F$56)*(1-N('Входные данные'!$F$62)))*F$54,IF(N('Входные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данные'!$F$53)*F$54,"нужна длительность этапа")))</f>
        <v>1750000</v>
      </c>
      <c r="G56" s="45" t="n">
        <f aca="false">IF($B56=1,(N('Входные данные'!$F$54)*(1-N('Входные данные'!$F$60))+N('Входные данные'!$F$55)*(1-N('Входные данные'!$F$61))+N('Входные данные'!$F$56)*(1-N('Входные данные'!$F$62)))*52/12*G$54,IF($B56=2,(N('Входные данные'!$F$54)*(1-N('Входные данные'!$F$60))+N('Входные данные'!$F$55)*(1-N('Входные данные'!$F$61))+N('Входные данные'!$F$56)*(1-N('Входные данные'!$F$62)))*G$54,IF(N('Входные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данные'!$F$53)*G$54,"нужна длительность этапа")))</f>
        <v>3500000</v>
      </c>
    </row>
    <row r="57" customFormat="false" ht="15" hidden="false" customHeight="false" outlineLevel="0" collapsed="false">
      <c r="B57" s="64" t="n">
        <v>3</v>
      </c>
      <c r="C57" s="45" t="str">
        <f aca="false">IF($B57=1,(N('Входные данные'!$F$54)*(1-N('Входные данные'!$F$60))+N('Входные данные'!$F$55)*(1-N('Входные данные'!$F$61))+N('Входные данные'!$F$56)*(1-N('Входные данные'!$F$62)))*52/12*C$54,IF($B57=2,(N('Входные данные'!$F$54)*(1-N('Входные данные'!$F$60))+N('Входные данные'!$F$55)*(1-N('Входные данные'!$F$61))+N('Входные данные'!$F$56)*(1-N('Входные данные'!$F$62)))*C$54,IF(N('Входные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данные'!$F$53)*C$54,"нужна длительность этапа")))</f>
        <v>нужна длительность этапа</v>
      </c>
      <c r="D57" s="45" t="str">
        <f aca="false">IF($B57=1,(N('Входные данные'!$F$54)*(1-N('Входные данные'!$F$60))+N('Входные данные'!$F$55)*(1-N('Входные данные'!$F$61))+N('Входные данные'!$F$56)*(1-N('Входные данные'!$F$62)))*52/12*D$54,IF($B57=2,(N('Входные данные'!$F$54)*(1-N('Входные данные'!$F$60))+N('Входные данные'!$F$55)*(1-N('Входные данные'!$F$61))+N('Входные данные'!$F$56)*(1-N('Входные данные'!$F$62)))*D$54,IF(N('Входные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данные'!$F$53)*D$54,"нужна длительность этапа")))</f>
        <v>нужна длительность этапа</v>
      </c>
      <c r="E57" s="45" t="str">
        <f aca="false">IF($B57=1,(N('Входные данные'!$F$54)*(1-N('Входные данные'!$F$60))+N('Входные данные'!$F$55)*(1-N('Входные данные'!$F$61))+N('Входные данные'!$F$56)*(1-N('Входные данные'!$F$62)))*52/12*E$54,IF($B57=2,(N('Входные данные'!$F$54)*(1-N('Входные данные'!$F$60))+N('Входные данные'!$F$55)*(1-N('Входные данные'!$F$61))+N('Входные данные'!$F$56)*(1-N('Входные данные'!$F$62)))*E$54,IF(N('Входные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данные'!$F$53)*E$54,"нужна длительность этапа")))</f>
        <v>нужна длительность этапа</v>
      </c>
      <c r="F57" s="45" t="str">
        <f aca="false">IF($B57=1,(N('Входные данные'!$F$54)*(1-N('Входные данные'!$F$60))+N('Входные данные'!$F$55)*(1-N('Входные данные'!$F$61))+N('Входные данные'!$F$56)*(1-N('Входные данные'!$F$62)))*52/12*F$54,IF($B57=2,(N('Входные данные'!$F$54)*(1-N('Входные данные'!$F$60))+N('Входные данные'!$F$55)*(1-N('Входные данные'!$F$61))+N('Входные данные'!$F$56)*(1-N('Входные данные'!$F$62)))*F$54,IF(N('Входные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данные'!$F$53)*F$54,"нужна длительность этапа")))</f>
        <v>нужна длительность этапа</v>
      </c>
      <c r="G57" s="45" t="str">
        <f aca="false">IF($B57=1,(N('Входные данные'!$F$54)*(1-N('Входные данные'!$F$60))+N('Входные данные'!$F$55)*(1-N('Входные данные'!$F$61))+N('Входные данные'!$F$56)*(1-N('Входные данные'!$F$62)))*52/12*G$54,IF($B57=2,(N('Входные данные'!$F$54)*(1-N('Входные данные'!$F$60))+N('Входные данные'!$F$55)*(1-N('Входные данные'!$F$61))+N('Входные данные'!$F$56)*(1-N('Входные данные'!$F$62)))*G$54,IF(N('Входные данные'!$F$53)&gt;0,(N('Входные данные'!$F$54)*(1-N('Входные данные'!$F$60))+N('Входные данные'!$F$55)*(1-N('Входные данные'!$F$61))+N('Входные данные'!$F$56)*(1-N('Входные данные'!$F$62)))/N('Входные данные'!$F$53)*G$54,"нужна длительность этапа")))</f>
        <v>нужна длительность этапа</v>
      </c>
    </row>
    <row r="58" customFormat="false" ht="15" hidden="false" customHeight="false" outlineLevel="0" collapsed="false">
      <c r="B58" s="2" t="s">
        <v>458</v>
      </c>
    </row>
    <row r="60" customFormat="false" ht="15" hidden="false" customHeight="false" outlineLevel="0" collapsed="false">
      <c r="B60" s="58" t="s">
        <v>459</v>
      </c>
      <c r="C60" s="43"/>
      <c r="D60" s="43"/>
      <c r="E60" s="43"/>
      <c r="F60" s="43"/>
      <c r="G60" s="43"/>
    </row>
    <row r="61" customFormat="false" ht="15" hidden="false" customHeight="false" outlineLevel="0" collapsed="false">
      <c r="B61" s="2" t="s">
        <v>457</v>
      </c>
    </row>
    <row r="62" customFormat="false" ht="15" hidden="false" customHeight="false" outlineLevel="0" collapsed="false">
      <c r="C62" s="61" t="n">
        <v>0</v>
      </c>
      <c r="D62" s="61" t="n">
        <v>25000</v>
      </c>
      <c r="E62" s="61" t="n">
        <v>50000</v>
      </c>
      <c r="F62" s="61" t="n">
        <v>100000</v>
      </c>
      <c r="G62" s="61" t="n">
        <v>200000</v>
      </c>
    </row>
    <row r="63" customFormat="false" ht="15" hidden="false" customHeight="false" outlineLevel="0" collapsed="false">
      <c r="B63" s="64" t="n">
        <v>1</v>
      </c>
      <c r="C63" s="45" t="str">
        <f aca="false">IF($B63=3,(N('Входные данные'!$F$54)*N('Входные данные'!$F$60)+N('Входные данные'!$F$55)*N('Входные данные'!$F$61)+N('Входные данные'!$F$56)*N('Входные данные'!$F$62))*C$62,IF(N('Входные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данные'!$F$62))*IF($B63=1,N('Входные данные'!$F$53)*52/12,N('Входные данные'!$F$53))*C$62,"нужна длительность этапа"))</f>
        <v>нужна длительность этапа</v>
      </c>
      <c r="D63" s="45" t="str">
        <f aca="false">IF($B63=3,(N('Входные данные'!$F$54)*N('Входные данные'!$F$60)+N('Входные данные'!$F$55)*N('Входные данные'!$F$61)+N('Входные данные'!$F$56)*N('Входные данные'!$F$62))*D$62,IF(N('Входные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данные'!$F$62))*IF($B63=1,N('Входные данные'!$F$53)*52/12,N('Входные данные'!$F$53))*D$62,"нужна длительность этапа"))</f>
        <v>нужна длительность этапа</v>
      </c>
      <c r="E63" s="45" t="str">
        <f aca="false">IF($B63=3,(N('Входные данные'!$F$54)*N('Входные данные'!$F$60)+N('Входные данные'!$F$55)*N('Входные данные'!$F$61)+N('Входные данные'!$F$56)*N('Входные данные'!$F$62))*E$62,IF(N('Входные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данные'!$F$62))*IF($B63=1,N('Входные данные'!$F$53)*52/12,N('Входные данные'!$F$53))*E$62,"нужна длительность этапа"))</f>
        <v>нужна длительность этапа</v>
      </c>
      <c r="F63" s="45" t="str">
        <f aca="false">IF($B63=3,(N('Входные данные'!$F$54)*N('Входные данные'!$F$60)+N('Входные данные'!$F$55)*N('Входные данные'!$F$61)+N('Входные данные'!$F$56)*N('Входные данные'!$F$62))*F$62,IF(N('Входные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данные'!$F$62))*IF($B63=1,N('Входные данные'!$F$53)*52/12,N('Входные данные'!$F$53))*F$62,"нужна длительность этапа"))</f>
        <v>нужна длительность этапа</v>
      </c>
      <c r="G63" s="45" t="str">
        <f aca="false">IF($B63=3,(N('Входные данные'!$F$54)*N('Входные данные'!$F$60)+N('Входные данные'!$F$55)*N('Входные данные'!$F$61)+N('Входные данные'!$F$56)*N('Входные данные'!$F$62))*G$62,IF(N('Входные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данные'!$F$62))*IF($B63=1,N('Входные данные'!$F$53)*52/12,N('Входные данные'!$F$53))*G$62,"нужна длительность этапа"))</f>
        <v>нужна длительность этапа</v>
      </c>
    </row>
    <row r="64" customFormat="false" ht="15" hidden="false" customHeight="false" outlineLevel="0" collapsed="false">
      <c r="B64" s="64" t="n">
        <v>2</v>
      </c>
      <c r="C64" s="45" t="str">
        <f aca="false">IF($B64=3,(N('Входные данные'!$F$54)*N('Входные данные'!$F$60)+N('Входные данные'!$F$55)*N('Входные данные'!$F$61)+N('Входные данные'!$F$56)*N('Входные данные'!$F$62))*C$62,IF(N('Входные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данные'!$F$62))*IF($B64=1,N('Входные данные'!$F$53)*52/12,N('Входные данные'!$F$53))*C$62,"нужна длительность этапа"))</f>
        <v>нужна длительность этапа</v>
      </c>
      <c r="D64" s="45" t="str">
        <f aca="false">IF($B64=3,(N('Входные данные'!$F$54)*N('Входные данные'!$F$60)+N('Входные данные'!$F$55)*N('Входные данные'!$F$61)+N('Входные данные'!$F$56)*N('Входные данные'!$F$62))*D$62,IF(N('Входные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данные'!$F$62))*IF($B64=1,N('Входные данные'!$F$53)*52/12,N('Входные данные'!$F$53))*D$62,"нужна длительность этапа"))</f>
        <v>нужна длительность этапа</v>
      </c>
      <c r="E64" s="45" t="str">
        <f aca="false">IF($B64=3,(N('Входные данные'!$F$54)*N('Входные данные'!$F$60)+N('Входные данные'!$F$55)*N('Входные данные'!$F$61)+N('Входные данные'!$F$56)*N('Входные данные'!$F$62))*E$62,IF(N('Входные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данные'!$F$62))*IF($B64=1,N('Входные данные'!$F$53)*52/12,N('Входные данные'!$F$53))*E$62,"нужна длительность этапа"))</f>
        <v>нужна длительность этапа</v>
      </c>
      <c r="F64" s="45" t="str">
        <f aca="false">IF($B64=3,(N('Входные данные'!$F$54)*N('Входные данные'!$F$60)+N('Входные данные'!$F$55)*N('Входные данные'!$F$61)+N('Входные данные'!$F$56)*N('Входные данные'!$F$62))*F$62,IF(N('Входные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данные'!$F$62))*IF($B64=1,N('Входные данные'!$F$53)*52/12,N('Входные данные'!$F$53))*F$62,"нужна длительность этапа"))</f>
        <v>нужна длительность этапа</v>
      </c>
      <c r="G64" s="45" t="str">
        <f aca="false">IF($B64=3,(N('Входные данные'!$F$54)*N('Входные данные'!$F$60)+N('Входные данные'!$F$55)*N('Входные данные'!$F$61)+N('Входные данные'!$F$56)*N('Входные данные'!$F$62))*G$62,IF(N('Входные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данные'!$F$62))*IF($B64=1,N('Входные данные'!$F$53)*52/12,N('Входные данные'!$F$53))*G$62,"нужна длительность этапа"))</f>
        <v>нужна длительность этапа</v>
      </c>
    </row>
    <row r="65" customFormat="false" ht="15" hidden="false" customHeight="false" outlineLevel="0" collapsed="false">
      <c r="B65" s="64" t="n">
        <v>3</v>
      </c>
      <c r="C65" s="45" t="n">
        <f aca="false">IF($B65=3,(N('Входные данные'!$F$54)*N('Входные данные'!$F$60)+N('Входные данные'!$F$55)*N('Входные данные'!$F$61)+N('Входные данные'!$F$56)*N('Входные данные'!$F$62))*C$62,IF(N('Входные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данные'!$F$62))*IF($B65=1,N('Входные данные'!$F$53)*52/12,N('Входные данные'!$F$53))*C$62,"нужна длительность этапа"))</f>
        <v>0</v>
      </c>
      <c r="D65" s="45" t="n">
        <f aca="false">IF($B65=3,(N('Входные данные'!$F$54)*N('Входные данные'!$F$60)+N('Входные данные'!$F$55)*N('Входные данные'!$F$61)+N('Входные данные'!$F$56)*N('Входные данные'!$F$62))*D$62,IF(N('Входные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данные'!$F$62))*IF($B65=1,N('Входные данные'!$F$53)*52/12,N('Входные данные'!$F$53))*D$62,"нужна длительность этапа"))</f>
        <v>1687500</v>
      </c>
      <c r="E65" s="45" t="n">
        <f aca="false">IF($B65=3,(N('Входные данные'!$F$54)*N('Входные данные'!$F$60)+N('Входные данные'!$F$55)*N('Входные данные'!$F$61)+N('Входные данные'!$F$56)*N('Входные данные'!$F$62))*E$62,IF(N('Входные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данные'!$F$62))*IF($B65=1,N('Входные данные'!$F$53)*52/12,N('Входные данные'!$F$53))*E$62,"нужна длительность этапа"))</f>
        <v>3375000</v>
      </c>
      <c r="F65" s="45" t="n">
        <f aca="false">IF($B65=3,(N('Входные данные'!$F$54)*N('Входные данные'!$F$60)+N('Входные данные'!$F$55)*N('Входные данные'!$F$61)+N('Входные данные'!$F$56)*N('Входные данные'!$F$62))*F$62,IF(N('Входные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данные'!$F$62))*IF($B65=1,N('Входные данные'!$F$53)*52/12,N('Входные данные'!$F$53))*F$62,"нужна длительность этапа"))</f>
        <v>6750000</v>
      </c>
      <c r="G65" s="45" t="n">
        <f aca="false">IF($B65=3,(N('Входные данные'!$F$54)*N('Входные данные'!$F$60)+N('Входные данные'!$F$55)*N('Входные данные'!$F$61)+N('Входные данные'!$F$56)*N('Входные данные'!$F$62))*G$62,IF(N('Входные данные'!$F$53)&gt;0,(N('Входные данные'!$F$54)*N('Входные данные'!$F$60)+N('Входные данные'!$F$55)*N('Входные данные'!$F$61)+N('Входные данные'!$F$56)*N('Входные данные'!$F$62))*IF($B65=1,N('Входные данные'!$F$53)*52/12,N('Входные данные'!$F$53))*G$62,"нужна длительность этапа"))</f>
        <v>13500000</v>
      </c>
    </row>
    <row r="67" customFormat="false" ht="15" hidden="false" customHeight="false" outlineLevel="0" collapsed="false">
      <c r="B67" s="58" t="s">
        <v>460</v>
      </c>
      <c r="C67" s="43"/>
      <c r="D67" s="43"/>
      <c r="E67" s="43"/>
      <c r="F67" s="43"/>
      <c r="G67" s="43"/>
      <c r="H67" s="43"/>
    </row>
    <row r="68" customFormat="false" ht="23.85" hidden="false" customHeight="false" outlineLevel="0" collapsed="false">
      <c r="B68" s="41" t="s">
        <v>461</v>
      </c>
      <c r="C68" s="41" t="s">
        <v>462</v>
      </c>
      <c r="D68" s="41" t="s">
        <v>463</v>
      </c>
      <c r="E68" s="41" t="s">
        <v>464</v>
      </c>
      <c r="F68" s="41" t="s">
        <v>424</v>
      </c>
      <c r="G68" s="41" t="s">
        <v>426</v>
      </c>
      <c r="H68" s="41" t="s">
        <v>465</v>
      </c>
    </row>
    <row r="69" customFormat="false" ht="15" hidden="false" customHeight="false" outlineLevel="0" collapsed="false">
      <c r="B69" s="65" t="n">
        <v>-0.2</v>
      </c>
      <c r="C69" s="56" t="n">
        <f aca="false">'Юнит-экономика'!$D$6*(1+B69)</f>
        <v>800000</v>
      </c>
      <c r="D69" s="56" t="n">
        <f aca="false">'Юнит-экономика'!$D$8*(1+B69)-'Юнит-экономика'!$D$10-N('Входные данные'!$F$33)*N('Входные данные'!$F$34)*'Юнит-экономика'!$D$8*(1+B69)</f>
        <v>300000</v>
      </c>
      <c r="E69" s="55" t="n">
        <f aca="false">MAX(0,1+N('Входные данные'!$F$69)*B69/0.1)</f>
        <v>1</v>
      </c>
      <c r="F69" s="55" t="n">
        <f aca="false">Воронка!$D$18*E69</f>
        <v>2.1</v>
      </c>
      <c r="G69" s="56" t="n">
        <f aca="false">F69*D69*N('Входные данные'!$F$32)</f>
        <v>630000</v>
      </c>
      <c r="H69" s="56" t="n">
        <f aca="false">N('Входные данные'!$F$39)*MAX(0,D69)</f>
        <v>60000</v>
      </c>
    </row>
    <row r="70" customFormat="false" ht="15" hidden="false" customHeight="false" outlineLevel="0" collapsed="false">
      <c r="B70" s="65" t="n">
        <v>-0.1</v>
      </c>
      <c r="C70" s="56" t="n">
        <f aca="false">'Юнит-экономика'!$D$6*(1+B70)</f>
        <v>900000</v>
      </c>
      <c r="D70" s="56" t="n">
        <f aca="false">'Юнит-экономика'!$D$8*(1+B70)-'Юнит-экономика'!$D$10-N('Входные данные'!$F$33)*N('Входные данные'!$F$34)*'Юнит-экономика'!$D$8*(1+B70)</f>
        <v>400000</v>
      </c>
      <c r="E70" s="55" t="n">
        <f aca="false">MAX(0,1+N('Входные данные'!$F$69)*B70/0.1)</f>
        <v>1</v>
      </c>
      <c r="F70" s="55" t="n">
        <f aca="false">Воронка!$D$18*E70</f>
        <v>2.1</v>
      </c>
      <c r="G70" s="56" t="n">
        <f aca="false">F70*D70*N('Входные данные'!$F$32)</f>
        <v>840000</v>
      </c>
      <c r="H70" s="56" t="n">
        <f aca="false">N('Входные данные'!$F$39)*MAX(0,D70)</f>
        <v>80000</v>
      </c>
    </row>
    <row r="71" customFormat="false" ht="15" hidden="false" customHeight="false" outlineLevel="0" collapsed="false">
      <c r="B71" s="65" t="n">
        <v>0</v>
      </c>
      <c r="C71" s="56" t="n">
        <f aca="false">'Юнит-экономика'!$D$6*(1+B71)</f>
        <v>1000000</v>
      </c>
      <c r="D71" s="56" t="n">
        <f aca="false">'Юнит-экономика'!$D$8*(1+B71)-'Юнит-экономика'!$D$10-N('Входные данные'!$F$33)*N('Входные данные'!$F$34)*'Юнит-экономика'!$D$8*(1+B71)</f>
        <v>500000</v>
      </c>
      <c r="E71" s="55" t="n">
        <f aca="false">MAX(0,1+N('Входные данные'!$F$69)*B71/0.1)</f>
        <v>1</v>
      </c>
      <c r="F71" s="55" t="n">
        <f aca="false">Воронка!$D$18*E71</f>
        <v>2.1</v>
      </c>
      <c r="G71" s="56" t="n">
        <f aca="false">F71*D71*N('Входные данные'!$F$32)</f>
        <v>1050000</v>
      </c>
      <c r="H71" s="56" t="n">
        <f aca="false">N('Входные данные'!$F$39)*MAX(0,D71)</f>
        <v>100000</v>
      </c>
    </row>
    <row r="72" customFormat="false" ht="15" hidden="false" customHeight="false" outlineLevel="0" collapsed="false">
      <c r="B72" s="65" t="n">
        <v>0.1</v>
      </c>
      <c r="C72" s="56" t="n">
        <f aca="false">'Юнит-экономика'!$D$6*(1+B72)</f>
        <v>1100000</v>
      </c>
      <c r="D72" s="56" t="n">
        <f aca="false">'Юнит-экономика'!$D$8*(1+B72)-'Юнит-экономика'!$D$10-N('Входные данные'!$F$33)*N('Входные данные'!$F$34)*'Юнит-экономика'!$D$8*(1+B72)</f>
        <v>600000</v>
      </c>
      <c r="E72" s="55" t="n">
        <f aca="false">MAX(0,1+N('Входные данные'!$F$69)*B72/0.1)</f>
        <v>1</v>
      </c>
      <c r="F72" s="55" t="n">
        <f aca="false">Воронка!$D$18*E72</f>
        <v>2.1</v>
      </c>
      <c r="G72" s="56" t="n">
        <f aca="false">F72*D72*N('Входные данные'!$F$32)</f>
        <v>1260000</v>
      </c>
      <c r="H72" s="56" t="n">
        <f aca="false">N('Входные данные'!$F$39)*MAX(0,D72)</f>
        <v>120000</v>
      </c>
    </row>
    <row r="73" customFormat="false" ht="15" hidden="false" customHeight="false" outlineLevel="0" collapsed="false">
      <c r="B73" s="65" t="n">
        <v>0.2</v>
      </c>
      <c r="C73" s="56" t="n">
        <f aca="false">'Юнит-экономика'!$D$6*(1+B73)</f>
        <v>1200000</v>
      </c>
      <c r="D73" s="56" t="n">
        <f aca="false">'Юнит-экономика'!$D$8*(1+B73)-'Юнит-экономика'!$D$10-N('Входные данные'!$F$33)*N('Входные данные'!$F$34)*'Юнит-экономика'!$D$8*(1+B73)</f>
        <v>700000</v>
      </c>
      <c r="E73" s="55" t="n">
        <f aca="false">MAX(0,1+N('Входные данные'!$F$69)*B73/0.1)</f>
        <v>1</v>
      </c>
      <c r="F73" s="55" t="n">
        <f aca="false">Воронка!$D$18*E73</f>
        <v>2.1</v>
      </c>
      <c r="G73" s="56" t="n">
        <f aca="false">F73*D73*N('Входные данные'!$F$32)</f>
        <v>1470000</v>
      </c>
      <c r="H73" s="56" t="n">
        <f aca="false">N('Входные данные'!$F$39)*MAX(0,D73)</f>
        <v>140000</v>
      </c>
    </row>
    <row r="74" customFormat="false" ht="15" hidden="false" customHeight="false" outlineLevel="0" collapsed="false">
      <c r="B74" s="2" t="s">
        <v>466</v>
      </c>
    </row>
    <row r="76" customFormat="false" ht="15" hidden="false" customHeight="false" outlineLevel="0" collapsed="false">
      <c r="B76" s="58" t="s">
        <v>467</v>
      </c>
      <c r="C76" s="43"/>
      <c r="D76" s="43"/>
      <c r="E76" s="43"/>
      <c r="F76" s="43"/>
    </row>
    <row r="77" customFormat="false" ht="15" hidden="false" customHeight="false" outlineLevel="0" collapsed="false">
      <c r="B77" s="2" t="s">
        <v>468</v>
      </c>
    </row>
    <row r="78" customFormat="false" ht="15" hidden="false" customHeight="false" outlineLevel="0" collapsed="false">
      <c r="C78" s="59" t="n">
        <v>0</v>
      </c>
      <c r="D78" s="59" t="n">
        <v>0.1</v>
      </c>
      <c r="E78" s="59" t="n">
        <v>0.15</v>
      </c>
      <c r="F78" s="59" t="n">
        <v>0.2</v>
      </c>
    </row>
    <row r="79" customFormat="false" ht="15" hidden="false" customHeight="false" outlineLevel="0" collapsed="false">
      <c r="B79" s="60" t="n">
        <v>0</v>
      </c>
      <c r="C79" s="45" t="n">
        <f aca="false">((1-$B79)*'Юнит-экономика'!$D$20+$B79*C$78*'Юнит-экономика'!$D$8)*N('Входные данные'!$F$32)</f>
        <v>500000</v>
      </c>
      <c r="D79" s="45" t="n">
        <f aca="false">((1-$B79)*'Юнит-экономика'!$D$20+$B79*D$78*'Юнит-экономика'!$D$8)*N('Входные данные'!$F$32)</f>
        <v>500000</v>
      </c>
      <c r="E79" s="45" t="n">
        <f aca="false">((1-$B79)*'Юнит-экономика'!$D$20+$B79*E$78*'Юнит-экономика'!$D$8)*N('Входные данные'!$F$32)</f>
        <v>500000</v>
      </c>
      <c r="F79" s="45" t="n">
        <f aca="false">((1-$B79)*'Юнит-экономика'!$D$20+$B79*F$78*'Юнит-экономика'!$D$8)*N('Входные данные'!$F$32)</f>
        <v>500000</v>
      </c>
    </row>
    <row r="80" customFormat="false" ht="15" hidden="false" customHeight="false" outlineLevel="0" collapsed="false">
      <c r="B80" s="60" t="n">
        <v>0.1</v>
      </c>
      <c r="C80" s="45" t="n">
        <f aca="false">((1-$B80)*'Юнит-экономика'!$D$20+$B80*C$78*'Юнит-экономика'!$D$8)*N('Входные данные'!$F$32)</f>
        <v>450000</v>
      </c>
      <c r="D80" s="45" t="n">
        <f aca="false">((1-$B80)*'Юнит-экономика'!$D$20+$B80*D$78*'Юнит-экономика'!$D$8)*N('Входные данные'!$F$32)</f>
        <v>460000</v>
      </c>
      <c r="E80" s="45" t="n">
        <f aca="false">((1-$B80)*'Юнит-экономика'!$D$20+$B80*E$78*'Юнит-экономика'!$D$8)*N('Входные данные'!$F$32)</f>
        <v>465000</v>
      </c>
      <c r="F80" s="45" t="n">
        <f aca="false">((1-$B80)*'Юнит-экономика'!$D$20+$B80*F$78*'Юнит-экономика'!$D$8)*N('Входные данные'!$F$32)</f>
        <v>470000</v>
      </c>
    </row>
    <row r="81" customFormat="false" ht="15" hidden="false" customHeight="false" outlineLevel="0" collapsed="false">
      <c r="B81" s="60" t="n">
        <v>0.2</v>
      </c>
      <c r="C81" s="45" t="n">
        <f aca="false">((1-$B81)*'Юнит-экономика'!$D$20+$B81*C$78*'Юнит-экономика'!$D$8)*N('Входные данные'!$F$32)</f>
        <v>400000</v>
      </c>
      <c r="D81" s="45" t="n">
        <f aca="false">((1-$B81)*'Юнит-экономика'!$D$20+$B81*D$78*'Юнит-экономика'!$D$8)*N('Входные данные'!$F$32)</f>
        <v>420000</v>
      </c>
      <c r="E81" s="45" t="n">
        <f aca="false">((1-$B81)*'Юнит-экономика'!$D$20+$B81*E$78*'Юнит-экономика'!$D$8)*N('Входные данные'!$F$32)</f>
        <v>430000</v>
      </c>
      <c r="F81" s="45" t="n">
        <f aca="false">((1-$B81)*'Юнит-экономика'!$D$20+$B81*F$78*'Юнит-экономика'!$D$8)*N('Входные данные'!$F$32)</f>
        <v>440000</v>
      </c>
    </row>
    <row r="82" customFormat="false" ht="15" hidden="false" customHeight="false" outlineLevel="0" collapsed="false">
      <c r="B82" s="60" t="n">
        <v>0.3</v>
      </c>
      <c r="C82" s="45" t="n">
        <f aca="false">((1-$B82)*'Юнит-экономика'!$D$20+$B82*C$78*'Юнит-экономика'!$D$8)*N('Входные данные'!$F$32)</f>
        <v>350000</v>
      </c>
      <c r="D82" s="45" t="n">
        <f aca="false">((1-$B82)*'Юнит-экономика'!$D$20+$B82*D$78*'Юнит-экономика'!$D$8)*N('Входные данные'!$F$32)</f>
        <v>380000</v>
      </c>
      <c r="E82" s="45" t="n">
        <f aca="false">((1-$B82)*'Юнит-экономика'!$D$20+$B82*E$78*'Юнит-экономика'!$D$8)*N('Входные данные'!$F$32)</f>
        <v>395000</v>
      </c>
      <c r="F82" s="45" t="n">
        <f aca="false">((1-$B82)*'Юнит-экономика'!$D$20+$B82*F$78*'Юнит-экономика'!$D$8)*N('Входные данные'!$F$32)</f>
        <v>410000</v>
      </c>
    </row>
    <row r="83" customFormat="false" ht="15" hidden="false" customHeight="false" outlineLevel="0" collapsed="false">
      <c r="B83" s="60" t="n">
        <v>0.5</v>
      </c>
      <c r="C83" s="45" t="n">
        <f aca="false">((1-$B83)*'Юнит-экономика'!$D$20+$B83*C$78*'Юнит-экономика'!$D$8)*N('Входные данные'!$F$32)</f>
        <v>250000</v>
      </c>
      <c r="D83" s="45" t="n">
        <f aca="false">((1-$B83)*'Юнит-экономика'!$D$20+$B83*D$78*'Юнит-экономика'!$D$8)*N('Входные данные'!$F$32)</f>
        <v>300000</v>
      </c>
      <c r="E83" s="45" t="n">
        <f aca="false">((1-$B83)*'Юнит-экономика'!$D$20+$B83*E$78*'Юнит-экономика'!$D$8)*N('Входные данные'!$F$32)</f>
        <v>325000</v>
      </c>
      <c r="F83" s="45" t="n">
        <f aca="false">((1-$B83)*'Юнит-экономика'!$D$20+$B83*F$78*'Юнит-экономика'!$D$8)*N('Входные данные'!$F$32)</f>
        <v>350000</v>
      </c>
    </row>
    <row r="84" customFormat="false" ht="15" hidden="false" customHeight="false" outlineLevel="0" collapsed="false">
      <c r="B84" s="2" t="s">
        <v>469</v>
      </c>
    </row>
    <row r="86" customFormat="false" ht="15" hidden="false" customHeight="false" outlineLevel="0" collapsed="false">
      <c r="B86" s="58" t="s">
        <v>470</v>
      </c>
      <c r="C86" s="43"/>
      <c r="D86" s="43"/>
      <c r="E86" s="43"/>
    </row>
    <row r="87" customFormat="false" ht="15" hidden="false" customHeight="false" outlineLevel="0" collapsed="false">
      <c r="B87" s="2" t="s">
        <v>471</v>
      </c>
    </row>
    <row r="88" customFormat="false" ht="15" hidden="false" customHeight="false" outlineLevel="0" collapsed="false">
      <c r="C88" s="66" t="s">
        <v>424</v>
      </c>
      <c r="D88" s="66" t="s">
        <v>472</v>
      </c>
      <c r="E88" s="66" t="s">
        <v>473</v>
      </c>
    </row>
    <row r="89" customFormat="false" ht="15" hidden="false" customHeight="false" outlineLevel="0" collapsed="false">
      <c r="B89" s="60" t="n">
        <v>0</v>
      </c>
      <c r="C89" s="51" t="n">
        <f aca="false">Воронка!$D$12*$B89</f>
        <v>0</v>
      </c>
      <c r="D89" s="45" t="n">
        <f aca="false">Воронка!$D$12*$B89*'Юнит-экономика'!$D$32</f>
        <v>0</v>
      </c>
      <c r="E89" s="45" t="n">
        <f aca="false">Воронка!$D$12*(1-$B89)*'Юнит-экономика'!$D$32</f>
        <v>1050000</v>
      </c>
    </row>
    <row r="90" customFormat="false" ht="15" hidden="false" customHeight="false" outlineLevel="0" collapsed="false">
      <c r="B90" s="60" t="n">
        <v>0.1</v>
      </c>
      <c r="C90" s="51" t="n">
        <f aca="false">Воронка!$D$12*$B90</f>
        <v>0.21</v>
      </c>
      <c r="D90" s="45" t="n">
        <f aca="false">Воронка!$D$12*$B90*'Юнит-экономика'!$D$32</f>
        <v>105000</v>
      </c>
      <c r="E90" s="45" t="n">
        <f aca="false">Воронка!$D$12*(1-$B90)*'Юнит-экономика'!$D$32</f>
        <v>945000</v>
      </c>
    </row>
    <row r="91" customFormat="false" ht="15" hidden="false" customHeight="false" outlineLevel="0" collapsed="false">
      <c r="B91" s="60" t="n">
        <v>0.25</v>
      </c>
      <c r="C91" s="51" t="n">
        <f aca="false">Воронка!$D$12*$B91</f>
        <v>0.525</v>
      </c>
      <c r="D91" s="45" t="n">
        <f aca="false">Воронка!$D$12*$B91*'Юнит-экономика'!$D$32</f>
        <v>262500</v>
      </c>
      <c r="E91" s="45" t="n">
        <f aca="false">Воронка!$D$12*(1-$B91)*'Юнит-экономика'!$D$32</f>
        <v>787500</v>
      </c>
    </row>
    <row r="92" customFormat="false" ht="15" hidden="false" customHeight="false" outlineLevel="0" collapsed="false">
      <c r="B92" s="60" t="n">
        <v>0.5</v>
      </c>
      <c r="C92" s="51" t="n">
        <f aca="false">Воронка!$D$12*$B92</f>
        <v>1.05</v>
      </c>
      <c r="D92" s="45" t="n">
        <f aca="false">Воронка!$D$12*$B92*'Юнит-экономика'!$D$32</f>
        <v>525000</v>
      </c>
      <c r="E92" s="45" t="n">
        <f aca="false">Воронка!$D$12*(1-$B92)*'Юнит-экономика'!$D$32</f>
        <v>525000</v>
      </c>
    </row>
    <row r="93" customFormat="false" ht="15" hidden="false" customHeight="false" outlineLevel="0" collapsed="false">
      <c r="B93" s="60" t="n">
        <v>0.75</v>
      </c>
      <c r="C93" s="51" t="n">
        <f aca="false">Воронка!$D$12*$B93</f>
        <v>1.575</v>
      </c>
      <c r="D93" s="45" t="n">
        <f aca="false">Воронка!$D$12*$B93*'Юнит-экономика'!$D$32</f>
        <v>787500</v>
      </c>
      <c r="E93" s="45" t="n">
        <f aca="false">Воронка!$D$12*(1-$B93)*'Юнит-экономика'!$D$32</f>
        <v>262500</v>
      </c>
    </row>
    <row r="94" customFormat="false" ht="15" hidden="false" customHeight="false" outlineLevel="0" collapsed="false">
      <c r="B94" s="60" t="n">
        <v>1</v>
      </c>
      <c r="C94" s="51" t="n">
        <f aca="false">Воронка!$D$12*$B94</f>
        <v>2.1</v>
      </c>
      <c r="D94" s="45" t="n">
        <f aca="false">Воронка!$D$12*$B94*'Юнит-экономика'!$D$32</f>
        <v>1050000</v>
      </c>
      <c r="E94" s="45" t="n">
        <f aca="false">Воронка!$D$12*(1-$B94)*'Юнит-экономика'!$D$32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474</v>
      </c>
    </row>
    <row r="2" customFormat="false" ht="15" hidden="false" customHeight="false" outlineLevel="0" collapsed="false">
      <c r="A2" s="2" t="s">
        <v>475</v>
      </c>
    </row>
    <row r="3" customFormat="false" ht="15" hidden="false" customHeight="false" outlineLevel="0" collapsed="false">
      <c r="B3" s="3" t="s">
        <v>476</v>
      </c>
      <c r="C3" s="3" t="str">
        <f aca="false">IF(COUNTIF(D6:D25,"ОШИБКА")&gt;0,"ЕСТЬ ОШИБКИ",IF(COUNTIF(D6:D25,"НЕТ ДАННЫХ")&gt;0,"ФОРМУЛЫ ОК, НЕ ХВАТАЕТ ДАННЫХ ВЛАДЕЛЬЦА","ВСЁ ОК"))</f>
        <v>ФОРМУЛЫ ОК, НЕ ХВАТАЕТ ДАННЫХ ВЛАДЕЛЬЦА</v>
      </c>
    </row>
    <row r="5" customFormat="false" ht="15" hidden="false" customHeight="false" outlineLevel="0" collapsed="false">
      <c r="A5" s="10" t="s">
        <v>9</v>
      </c>
      <c r="B5" s="10" t="s">
        <v>477</v>
      </c>
      <c r="C5" s="10" t="s">
        <v>478</v>
      </c>
      <c r="D5" s="10" t="s">
        <v>12</v>
      </c>
      <c r="E5" s="10" t="s">
        <v>288</v>
      </c>
    </row>
    <row r="6" customFormat="false" ht="15" hidden="false" customHeight="false" outlineLevel="0" collapsed="false">
      <c r="A6" s="12" t="s">
        <v>479</v>
      </c>
      <c r="B6" s="12" t="s">
        <v>480</v>
      </c>
      <c r="C6" s="67" t="n">
        <f aca="false">SUMPRODUCT(--ISERROR('Входные данные'!E13:G69))</f>
        <v>0</v>
      </c>
      <c r="D6" s="12" t="str">
        <f aca="false">IF(C6=0,"OK","ОШИБКА")</f>
        <v>OK</v>
      </c>
      <c r="E6" s="12"/>
    </row>
    <row r="7" customFormat="false" ht="15" hidden="false" customHeight="false" outlineLevel="0" collapsed="false">
      <c r="A7" s="12" t="s">
        <v>481</v>
      </c>
      <c r="B7" s="12" t="s">
        <v>482</v>
      </c>
      <c r="C7" s="67" t="n">
        <f aca="false">SUMPRODUCT(--ISERROR('Юнит-экономика'!C5:E40))</f>
        <v>0</v>
      </c>
      <c r="D7" s="12" t="str">
        <f aca="false">IF(C7=0,"OK","ОШИБКА")</f>
        <v>OK</v>
      </c>
      <c r="E7" s="12"/>
    </row>
    <row r="8" customFormat="false" ht="15" hidden="false" customHeight="false" outlineLevel="0" collapsed="false">
      <c r="A8" s="12" t="s">
        <v>483</v>
      </c>
      <c r="B8" s="12" t="s">
        <v>484</v>
      </c>
      <c r="C8" s="67" t="n">
        <f aca="false">SUMPRODUCT(--ISERROR(Воронка!C5:E25))</f>
        <v>0</v>
      </c>
      <c r="D8" s="12" t="str">
        <f aca="false">IF(C8=0,"OK","ОШИБКА")</f>
        <v>OK</v>
      </c>
      <c r="E8" s="12"/>
    </row>
    <row r="9" customFormat="false" ht="15" hidden="false" customHeight="false" outlineLevel="0" collapsed="false">
      <c r="A9" s="12" t="s">
        <v>485</v>
      </c>
      <c r="B9" s="12" t="s">
        <v>486</v>
      </c>
      <c r="C9" s="67" t="n">
        <f aca="false">SUMPRODUCT(--ISERROR(Сценарии_BEP!C5:P102))</f>
        <v>0</v>
      </c>
      <c r="D9" s="12" t="str">
        <f aca="false">IF(C9=0,"OK","ОШИБКА")</f>
        <v>OK</v>
      </c>
      <c r="E9" s="12"/>
    </row>
    <row r="10" customFormat="false" ht="15" hidden="false" customHeight="false" outlineLevel="0" collapsed="false">
      <c r="A10" s="12" t="s">
        <v>487</v>
      </c>
      <c r="B10" s="12" t="s">
        <v>488</v>
      </c>
      <c r="C10" s="67" t="n">
        <f aca="false">SUMPRODUCT(--ISERROR(D10_I1!C4:F60))</f>
        <v>0</v>
      </c>
      <c r="D10" s="12" t="str">
        <f aca="false">IF(C10=0,"OK","ОШИБКА")</f>
        <v>OK</v>
      </c>
      <c r="E10" s="12"/>
    </row>
    <row r="11" customFormat="false" ht="15" hidden="false" customHeight="false" outlineLevel="0" collapsed="false">
      <c r="A11" s="12" t="s">
        <v>489</v>
      </c>
      <c r="B11" s="12" t="s">
        <v>490</v>
      </c>
      <c r="C11" s="67" t="n">
        <f aca="false">SUMPRODUCT(--ISERROR(Чувствительность!B4:H98))</f>
        <v>0</v>
      </c>
      <c r="D11" s="12" t="str">
        <f aca="false">IF(C11=0,"OK","ОШИБКА")</f>
        <v>OK</v>
      </c>
      <c r="E11" s="12"/>
    </row>
    <row r="12" customFormat="false" ht="23.85" hidden="false" customHeight="false" outlineLevel="0" collapsed="false">
      <c r="A12" s="12" t="s">
        <v>491</v>
      </c>
      <c r="B12" s="12" t="s">
        <v>492</v>
      </c>
      <c r="C12" s="67" t="n">
        <f aca="false">ABS('Юнит-экономика'!$C$8-'Юнит-экономика'!$C$10-'Юнит-экономика'!$C$19-'Юнит-экономика'!$C$20)+ABS('Юнит-экономика'!$D$8-'Юнит-экономика'!$D$10-'Юнит-экономика'!$D$19-'Юнит-экономика'!$D$20)+ABS('Юнит-экономика'!$E$8-'Юнит-экономика'!$E$10-'Юнит-экономика'!$E$19-'Юнит-экономика'!$E$20)</f>
        <v>0</v>
      </c>
      <c r="D12" s="12" t="str">
        <f aca="false">IF(C12&lt;0.001,"OK","ОШИБКА")</f>
        <v>OK</v>
      </c>
      <c r="E12" s="12"/>
    </row>
    <row r="13" customFormat="false" ht="15" hidden="false" customHeight="false" outlineLevel="0" collapsed="false">
      <c r="A13" s="12" t="s">
        <v>493</v>
      </c>
      <c r="B13" s="12" t="s">
        <v>494</v>
      </c>
      <c r="C13" s="67" t="n">
        <f aca="false">IF(AND(N('Входные данные'!$E$20)=1,'Юнит-экономика'!$C$8&gt;0),ABS('Юнит-экономика'!$C$12-N('Входные данные'!$E$21)),0)+IF(AND(N('Входные данные'!$F$20)=1,'Юнит-экономика'!$D$8&gt;0),ABS('Юнит-экономика'!$D$12-N('Входные данные'!$F$21)),0)+IF(AND(N('Входные данные'!$G$20)=1,'Юнит-экономика'!$E$8&gt;0),ABS('Юнит-экономика'!$E$12-N('Входные данные'!$G$21)),0)</f>
        <v>0</v>
      </c>
      <c r="D13" s="12" t="str">
        <f aca="false">IF(C13&lt;0.001,"OK","ОШИБКА")</f>
        <v>OK</v>
      </c>
      <c r="E13" s="12" t="s">
        <v>495</v>
      </c>
    </row>
    <row r="14" customFormat="false" ht="15" hidden="false" customHeight="false" outlineLevel="0" collapsed="false">
      <c r="A14" s="12" t="s">
        <v>496</v>
      </c>
      <c r="B14" s="12" t="s">
        <v>497</v>
      </c>
      <c r="C14" s="67" t="n">
        <f aca="false">ABS(Воронка!$C$12-N('Входные данные'!$E$42)*N('Входные данные'!$E$44)*N('Входные данные'!$E$45)*N('Входные данные'!$E$46))+ABS(Воронка!$D$12-N('Входные данные'!$F$42)*N('Входные данные'!$F$44)*N('Входные данные'!$F$45)*N('Входные данные'!$F$46))+ABS(Воронка!$E$12-N('Входные данные'!$G$42)*N('Входные данные'!$G$44)*N('Входные данные'!$G$45)*N('Входные данные'!$G$46))</f>
        <v>0</v>
      </c>
      <c r="D14" s="12" t="str">
        <f aca="false">IF(C14&lt;0.001,"OK","ОШИБКА")</f>
        <v>OK</v>
      </c>
      <c r="E14" s="12"/>
    </row>
    <row r="15" customFormat="false" ht="15" hidden="false" customHeight="false" outlineLevel="0" collapsed="false">
      <c r="A15" s="12" t="s">
        <v>498</v>
      </c>
      <c r="B15" s="12" t="s">
        <v>499</v>
      </c>
      <c r="C15" s="67" t="n">
        <f aca="false">ABS(Сценарии_BEP!O61-(Сценарии_BEP!C60+Сценарии_BEP!P58))+ABS(Сценарии_BEP!O78-(Сценарии_BEP!C77+Сценарии_BEP!P75))+ABS(Сценарии_BEP!O95-(Сценарии_BEP!C94+Сценарии_BEP!P92))</f>
        <v>0</v>
      </c>
      <c r="D15" s="12" t="str">
        <f aca="false">IF(C15&lt;0.001,"OK","ОШИБКА")</f>
        <v>OK</v>
      </c>
      <c r="E15" s="12"/>
    </row>
    <row r="16" customFormat="false" ht="15" hidden="false" customHeight="false" outlineLevel="0" collapsed="false">
      <c r="A16" s="12" t="s">
        <v>500</v>
      </c>
      <c r="B16" s="12" t="s">
        <v>501</v>
      </c>
      <c r="C16" s="67" t="n">
        <f aca="false">IF(N('Входные данные'!$F$47)&gt;12,0,ABS(Сценарии_BEP!O54-Воронка!$C$18)+ABS(Сценарии_BEP!O71-Воронка!$D$18)+ABS(Сценарии_BEP!O88-Воронка!$E$18))</f>
        <v>0</v>
      </c>
      <c r="D16" s="12" t="str">
        <f aca="false">IF(C16&lt;0.001,"OK","ОШИБКА")</f>
        <v>OK</v>
      </c>
      <c r="E16" s="12" t="s">
        <v>502</v>
      </c>
    </row>
    <row r="17" customFormat="false" ht="15" hidden="false" customHeight="false" outlineLevel="0" collapsed="false">
      <c r="A17" s="12" t="s">
        <v>503</v>
      </c>
      <c r="B17" s="12" t="s">
        <v>504</v>
      </c>
      <c r="C17" s="67" t="n">
        <f aca="false">ABS(INDEX(D10_I1!C11:F11,1,(N('Входные данные'!$E$30)-1)*2+N('Входные данные'!$E$31))-Сценарии_BEP!$C$36)+ABS(INDEX(D10_I1!C24:F24,1,(N('Входные данные'!$F$30)-1)*2+N('Входные данные'!$F$31))-Сценарии_BEP!$D$36)+ABS(INDEX(D10_I1!C37:F37,1,(N('Входные данные'!$G$30)-1)*2+N('Входные данные'!$G$31))-Сценарии_BEP!$E$36)</f>
        <v>0</v>
      </c>
      <c r="D17" s="12" t="str">
        <f aca="false">IF(C17&lt;0.001,"OK","ОШИБКА")</f>
        <v>OK</v>
      </c>
      <c r="E17" s="12"/>
    </row>
    <row r="18" customFormat="false" ht="15" hidden="false" customHeight="false" outlineLevel="0" collapsed="false">
      <c r="A18" s="12" t="s">
        <v>505</v>
      </c>
      <c r="B18" s="12" t="s">
        <v>506</v>
      </c>
      <c r="C18" s="67" t="n">
        <f aca="false">IF(AND(MIN('Входные данные'!E21:G21)&gt;=0,MAX('Входные данные'!E21:G21)&lt;=1,MIN('Входные данные'!E32:G32)&gt;=0,MAX('Входные данные'!E32:G32)&lt;=1,MIN('Входные данные'!E33:G33)&gt;=0,MAX('Входные данные'!E33:G33)&lt;=1,MIN('Входные данные'!E34:G34)&gt;=0,MAX('Входные данные'!E34:G34)&lt;=1,MIN('Входные данные'!E35:G35)&gt;=0,MAX('Входные данные'!E35:G35)&lt;=1,MIN('Входные данные'!E36:G36)&gt;=0,MAX('Входные данные'!E36:G36)&lt;=1,MIN('Входные данные'!E37:G37)&gt;=0,MAX('Входные данные'!E37:G37)&lt;=1,MIN('Входные данные'!E39:G39)&gt;=0,MAX('Входные данные'!E39:G39)&lt;=1,MIN('Входные данные'!E44:G44)&gt;=0,MAX('Входные данные'!E44:G44)&lt;=1,MIN('Входные данные'!E45:G45)&gt;=0,MAX('Входные данные'!E45:G45)&lt;=1,MIN('Входные данные'!E46:G46)&gt;=0,MAX('Входные данные'!E46:G46)&lt;=1,MIN('Входные данные'!E60:G60)&gt;=0,MAX('Входные данные'!E60:G60)&lt;=1,MIN('Входные данные'!E61:G61)&gt;=0,MAX('Входные данные'!E61:G61)&lt;=1,MIN('Входные данные'!E62:G62)&gt;=0,MAX('Входные данные'!E62:G62)&lt;=1),0,1)</f>
        <v>0</v>
      </c>
      <c r="D18" s="12" t="str">
        <f aca="false">IF(C18=0,"OK","ОШИБКА")</f>
        <v>OK</v>
      </c>
      <c r="E18" s="12"/>
    </row>
    <row r="19" customFormat="false" ht="15" hidden="false" customHeight="false" outlineLevel="0" collapsed="false">
      <c r="A19" s="12" t="s">
        <v>507</v>
      </c>
      <c r="B19" s="12" t="s">
        <v>508</v>
      </c>
      <c r="C19" s="67" t="n">
        <f aca="false">IF(AND(OR('Входные данные'!F20=1,'Входные данные'!F20=2),OR('Входные данные'!F30=1,'Входные данные'!F30=2),OR('Входные данные'!F31=1,'Входные данные'!F31=2),OR(N('Входные данные'!F52)=0,N('Входные данные'!F52)=1,N('Входные данные'!F52)=2,N('Входные данные'!F52)=3)),0,1)</f>
        <v>0</v>
      </c>
      <c r="D19" s="12" t="str">
        <f aca="false">IF(C19=0,"OK","ОШИБКА")</f>
        <v>OK</v>
      </c>
      <c r="E19" s="12"/>
    </row>
    <row r="20" customFormat="false" ht="15" hidden="false" customHeight="false" outlineLevel="0" collapsed="false">
      <c r="A20" s="12" t="s">
        <v>509</v>
      </c>
      <c r="B20" s="12" t="s">
        <v>510</v>
      </c>
      <c r="C20" s="67" t="n">
        <f aca="false">IF(AND('Входные данные'!F20=2,'Юнит-экономика'!$D$9=0),1,0)</f>
        <v>0</v>
      </c>
      <c r="D20" s="12" t="str">
        <f aca="false">IF(C20=0,"OK","ОШИБКА")</f>
        <v>OK</v>
      </c>
      <c r="E20" s="12"/>
    </row>
    <row r="21" customFormat="false" ht="15" hidden="false" customHeight="false" outlineLevel="0" collapsed="false">
      <c r="A21" s="12" t="s">
        <v>511</v>
      </c>
      <c r="B21" s="12" t="s">
        <v>512</v>
      </c>
      <c r="C21" s="67" t="n">
        <f aca="false">IF('Входные данные'!F16="",1,0)+IF('Входные данные'!F17="",1,0)+IF('Входные данные'!F22="",1,0)+IF('Входные данные'!F23="",1,0)+IF('Входные данные'!F24="",1,0)+IF('Входные данные'!F25="",1,0)+IF('Входные данные'!F26="",1,0)+IF('Входные данные'!F27="",1,0)+IF('Входные данные'!F28="",1,0)+IF('Входные данные'!F43="",1,0)+IF('Входные данные'!F50="",1,0)+IF('Входные данные'!F52="",1,0)+IF('Входные данные'!F53="",1,0)+IF('Входные данные'!F57="",1,0)+IF('Входные данные'!F58="",1,0)+IF('Входные данные'!F59="",1,0)+IF('Входные данные'!F64="",1,0)+IF('Входные данные'!F65="",1,0)+IF('Входные данные'!F66="",1,0)+IF('Входные данные'!F67="",1,0)+IF('Входные данные'!F69="",1,0)</f>
        <v>21</v>
      </c>
      <c r="D21" s="12" t="str">
        <f aca="false">IF(C21=0,"OK","НЕТ ДАННЫХ")</f>
        <v>НЕТ ДАННЫХ</v>
      </c>
      <c r="E21" s="12" t="s">
        <v>513</v>
      </c>
    </row>
    <row r="22" customFormat="false" ht="15" hidden="false" customHeight="false" outlineLevel="0" collapsed="false">
      <c r="A22" s="12" t="s">
        <v>514</v>
      </c>
      <c r="B22" s="12" t="s">
        <v>515</v>
      </c>
      <c r="C22" s="67" t="n">
        <f aca="false">IF(N('Входные данные'!F52)=0,1,0)</f>
        <v>1</v>
      </c>
      <c r="D22" s="12" t="str">
        <f aca="false">IF(C22=0,"OK","НЕТ ДАННЫХ")</f>
        <v>НЕТ ДАННЫХ</v>
      </c>
      <c r="E22" s="12"/>
    </row>
    <row r="23" customFormat="false" ht="15" hidden="false" customHeight="false" outlineLevel="0" collapsed="false">
      <c r="A23" s="12" t="s">
        <v>516</v>
      </c>
      <c r="B23" s="12" t="s">
        <v>517</v>
      </c>
      <c r="C23" s="67" t="n">
        <f aca="false">IF(AND(N('Входные данные'!F52)&gt;0,N('Входные данные'!F53)&lt;=0),1,0)</f>
        <v>0</v>
      </c>
      <c r="D23" s="12" t="str">
        <f aca="false">IF(C23=0,"OK","НЕТ ДАННЫХ")</f>
        <v>OK</v>
      </c>
      <c r="E23" s="12"/>
    </row>
    <row r="24" customFormat="false" ht="15" hidden="false" customHeight="false" outlineLevel="0" collapsed="false">
      <c r="A24" s="12" t="s">
        <v>518</v>
      </c>
      <c r="B24" s="12" t="s">
        <v>519</v>
      </c>
      <c r="C24" s="67" t="n">
        <f aca="false">IF(AND(N('Входные данные'!F57)=0,N('Входные данные'!F58)=0,N('Входные данные'!F59)=0),1,0)</f>
        <v>1</v>
      </c>
      <c r="D24" s="12" t="str">
        <f aca="false">IF(C24=0,"OK","НЕТ ДАННЫХ")</f>
        <v>НЕТ ДАННЫХ</v>
      </c>
      <c r="E24" s="12"/>
    </row>
    <row r="25" customFormat="false" ht="15" hidden="false" customHeight="false" outlineLevel="0" collapsed="false">
      <c r="A25" s="12" t="s">
        <v>520</v>
      </c>
      <c r="B25" s="12" t="s">
        <v>521</v>
      </c>
      <c r="C25" s="67" t="n">
        <f aca="false">IF(Сценарии_BEP!$D$24&lt;=0,1,0)</f>
        <v>1</v>
      </c>
      <c r="D25" s="12" t="str">
        <f aca="false">IF(C25=0,"OK","НЕТ ДАННЫХ")</f>
        <v>НЕТ ДАННЫХ</v>
      </c>
      <c r="E25" s="12"/>
    </row>
    <row r="27" customFormat="false" ht="15" hidden="false" customHeight="false" outlineLevel="0" collapsed="false">
      <c r="B27" s="68" t="s">
        <v>522</v>
      </c>
    </row>
    <row r="28" customFormat="false" ht="15" hidden="false" customHeight="false" outlineLevel="0" collapsed="false">
      <c r="B28" s="69" t="s">
        <v>22</v>
      </c>
      <c r="C28" s="69" t="n">
        <f aca="false">SUMPRODUCT(--(LEFT('Входные данные'!D13:D69,6)="[факт]"))</f>
        <v>9</v>
      </c>
    </row>
    <row r="29" customFormat="false" ht="15" hidden="false" customHeight="false" outlineLevel="0" collapsed="false">
      <c r="B29" s="69" t="s">
        <v>523</v>
      </c>
      <c r="C29" s="69" t="n">
        <f aca="false">SUMPRODUCT(--(LEFT('Входные данные'!D13:D69,10)="[гипотеза]"))</f>
        <v>14</v>
      </c>
    </row>
    <row r="30" customFormat="false" ht="15" hidden="false" customHeight="false" outlineLevel="0" collapsed="false">
      <c r="B30" s="69" t="s">
        <v>103</v>
      </c>
      <c r="C30" s="69" t="n">
        <f aca="false">SUMPRODUCT(--(LEFT('Входные данные'!D13:D69,10)="[заглушка]"))</f>
        <v>3</v>
      </c>
    </row>
    <row r="31" customFormat="false" ht="15" hidden="false" customHeight="false" outlineLevel="0" collapsed="false">
      <c r="B31" s="69" t="s">
        <v>33</v>
      </c>
      <c r="C31" s="69" t="n">
        <f aca="false">SUMPRODUCT(--(LEFT('Входные данные'!D13:D69,15)="нужно от Темура"))</f>
        <v>21</v>
      </c>
    </row>
    <row r="32" customFormat="false" ht="15" hidden="false" customHeight="false" outlineLevel="0" collapsed="false">
      <c r="B32" s="69" t="s">
        <v>51</v>
      </c>
      <c r="C32" s="69" t="n">
        <f aca="false">SUMPRODUCT(--(LEFT('Входные данные'!D13:D69,7)="[выбор]"))</f>
        <v>1</v>
      </c>
    </row>
    <row r="33" customFormat="false" ht="15" hidden="false" customHeight="false" outlineLevel="0" collapsed="false">
      <c r="B33" s="70" t="s">
        <v>524</v>
      </c>
      <c r="C33" s="70" t="n">
        <f aca="false">SUM(C28:C32)</f>
        <v>48</v>
      </c>
      <c r="D33" s="70" t="str">
        <f aca="false">IF(C33=48,"OK","ОШИБКА")</f>
        <v>OK</v>
      </c>
      <c r="E33" s="71" t="s">
        <v>525</v>
      </c>
    </row>
    <row r="34" customFormat="false" ht="15" hidden="false" customHeight="false" outlineLevel="0" collapsed="false">
      <c r="B34" s="69" t="s">
        <v>526</v>
      </c>
      <c r="C34" s="69" t="n">
        <f aca="false">IF(LEFT('Входные данные'!D42,6)="[факт]",1,0)+IF(LEFT('Входные данные'!D44,6)="[факт]",1,0)+IF(LEFT('Входные данные'!D45,6)="[факт]",1,0)+IF(LEFT('Входные данные'!D46,6)="[факт]",1,0)+IF(LEFT('Входные данные'!D21,6)="[факт]",1,0)</f>
        <v>0</v>
      </c>
      <c r="E34" s="71" t="s">
        <v>527</v>
      </c>
    </row>
    <row r="36" customFormat="false" ht="15" hidden="false" customHeight="false" outlineLevel="0" collapsed="false">
      <c r="B36" s="68" t="s">
        <v>528</v>
      </c>
    </row>
    <row r="37" customFormat="false" ht="15" hidden="false" customHeight="false" outlineLevel="0" collapsed="false">
      <c r="A37" s="10" t="s">
        <v>9</v>
      </c>
      <c r="B37" s="10" t="s">
        <v>529</v>
      </c>
      <c r="C37" s="10" t="s">
        <v>530</v>
      </c>
      <c r="D37" s="10" t="s">
        <v>531</v>
      </c>
      <c r="E37" s="10" t="s">
        <v>532</v>
      </c>
    </row>
    <row r="38" customFormat="false" ht="23.85" hidden="false" customHeight="false" outlineLevel="0" collapsed="false">
      <c r="A38" s="12" t="s">
        <v>533</v>
      </c>
      <c r="B38" s="12" t="s">
        <v>534</v>
      </c>
      <c r="C38" s="12" t="n">
        <v>0</v>
      </c>
      <c r="D38" s="12" t="s">
        <v>535</v>
      </c>
      <c r="E38" s="12" t="s">
        <v>536</v>
      </c>
    </row>
    <row r="39" customFormat="false" ht="15" hidden="false" customHeight="false" outlineLevel="0" collapsed="false">
      <c r="A39" s="12" t="s">
        <v>537</v>
      </c>
      <c r="B39" s="12" t="s">
        <v>538</v>
      </c>
      <c r="C39" s="12" t="n">
        <v>0</v>
      </c>
      <c r="D39" s="12" t="s">
        <v>535</v>
      </c>
      <c r="E39" s="12" t="s">
        <v>539</v>
      </c>
    </row>
    <row r="40" customFormat="false" ht="15" hidden="false" customHeight="false" outlineLevel="0" collapsed="false">
      <c r="A40" s="12" t="s">
        <v>540</v>
      </c>
      <c r="B40" s="12" t="s">
        <v>541</v>
      </c>
      <c r="C40" s="12" t="n">
        <v>0</v>
      </c>
      <c r="D40" s="12" t="s">
        <v>535</v>
      </c>
      <c r="E40" s="12" t="s">
        <v>542</v>
      </c>
    </row>
    <row r="41" customFormat="false" ht="15" hidden="false" customHeight="false" outlineLevel="0" collapsed="false">
      <c r="A41" s="12" t="s">
        <v>543</v>
      </c>
      <c r="B41" s="12" t="s">
        <v>544</v>
      </c>
      <c r="C41" s="12" t="n">
        <v>0</v>
      </c>
      <c r="D41" s="12" t="s">
        <v>535</v>
      </c>
      <c r="E41" s="12" t="s">
        <v>545</v>
      </c>
    </row>
    <row r="42" customFormat="false" ht="15" hidden="false" customHeight="false" outlineLevel="0" collapsed="false">
      <c r="A42" s="12" t="s">
        <v>546</v>
      </c>
      <c r="B42" s="12" t="s">
        <v>547</v>
      </c>
      <c r="C42" s="12" t="n">
        <v>0</v>
      </c>
      <c r="D42" s="12" t="s">
        <v>535</v>
      </c>
      <c r="E42" s="12" t="s">
        <v>548</v>
      </c>
    </row>
    <row r="43" customFormat="false" ht="15" hidden="false" customHeight="false" outlineLevel="0" collapsed="false">
      <c r="A43" s="12" t="s">
        <v>549</v>
      </c>
      <c r="B43" s="12" t="s">
        <v>550</v>
      </c>
      <c r="C43" s="12" t="n">
        <v>0</v>
      </c>
      <c r="D43" s="12" t="s">
        <v>535</v>
      </c>
      <c r="E43" s="12" t="s">
        <v>551</v>
      </c>
    </row>
    <row r="44" customFormat="false" ht="23.85" hidden="false" customHeight="false" outlineLevel="0" collapsed="false">
      <c r="A44" s="12" t="s">
        <v>552</v>
      </c>
      <c r="B44" s="12" t="s">
        <v>553</v>
      </c>
      <c r="C44" s="12" t="n">
        <v>0</v>
      </c>
      <c r="D44" s="12" t="s">
        <v>554</v>
      </c>
      <c r="E44" s="12" t="s">
        <v>555</v>
      </c>
    </row>
    <row r="45" customFormat="false" ht="23.85" hidden="false" customHeight="false" outlineLevel="0" collapsed="false">
      <c r="A45" s="12" t="s">
        <v>556</v>
      </c>
      <c r="B45" s="12" t="s">
        <v>557</v>
      </c>
      <c r="C45" s="12" t="n">
        <v>0</v>
      </c>
      <c r="D45" s="12" t="s">
        <v>535</v>
      </c>
      <c r="E45" s="12" t="s">
        <v>558</v>
      </c>
    </row>
    <row r="46" customFormat="false" ht="23.85" hidden="false" customHeight="false" outlineLevel="0" collapsed="false">
      <c r="A46" s="12" t="s">
        <v>559</v>
      </c>
      <c r="B46" s="12" t="s">
        <v>560</v>
      </c>
      <c r="C46" s="12" t="n">
        <v>0</v>
      </c>
      <c r="D46" s="12" t="s">
        <v>535</v>
      </c>
      <c r="E46" s="12" t="s">
        <v>561</v>
      </c>
    </row>
    <row r="47" customFormat="false" ht="15" hidden="false" customHeight="false" outlineLevel="0" collapsed="false">
      <c r="A47" s="12" t="s">
        <v>562</v>
      </c>
      <c r="B47" s="12" t="s">
        <v>563</v>
      </c>
      <c r="C47" s="12" t="n">
        <v>0</v>
      </c>
      <c r="D47" s="12" t="s">
        <v>535</v>
      </c>
      <c r="E47" s="12" t="s">
        <v>564</v>
      </c>
    </row>
    <row r="48" customFormat="false" ht="15" hidden="false" customHeight="false" outlineLevel="0" collapsed="false">
      <c r="A48" s="12" t="s">
        <v>565</v>
      </c>
      <c r="B48" s="12" t="s">
        <v>566</v>
      </c>
      <c r="C48" s="12" t="n">
        <v>0</v>
      </c>
      <c r="D48" s="12" t="s">
        <v>535</v>
      </c>
      <c r="E48" s="12" t="s">
        <v>567</v>
      </c>
    </row>
    <row r="49" customFormat="false" ht="15" hidden="false" customHeight="false" outlineLevel="0" collapsed="false">
      <c r="A49" s="12" t="s">
        <v>568</v>
      </c>
      <c r="B49" s="12" t="s">
        <v>569</v>
      </c>
      <c r="C49" s="12" t="n">
        <v>0</v>
      </c>
      <c r="D49" s="12" t="s">
        <v>535</v>
      </c>
      <c r="E49" s="12" t="s">
        <v>570</v>
      </c>
    </row>
    <row r="50" customFormat="false" ht="23.85" hidden="false" customHeight="false" outlineLevel="0" collapsed="false">
      <c r="A50" s="12" t="s">
        <v>571</v>
      </c>
      <c r="B50" s="12" t="s">
        <v>572</v>
      </c>
      <c r="C50" s="12" t="n">
        <v>0</v>
      </c>
      <c r="D50" s="12" t="s">
        <v>535</v>
      </c>
      <c r="E50" s="12" t="s">
        <v>573</v>
      </c>
    </row>
    <row r="51" customFormat="false" ht="15" hidden="false" customHeight="false" outlineLevel="0" collapsed="false">
      <c r="A51" s="12" t="s">
        <v>574</v>
      </c>
      <c r="B51" s="12" t="s">
        <v>575</v>
      </c>
      <c r="C51" s="12" t="n">
        <v>0</v>
      </c>
      <c r="D51" s="12" t="s">
        <v>535</v>
      </c>
      <c r="E51" s="12" t="s">
        <v>576</v>
      </c>
    </row>
    <row r="52" customFormat="false" ht="15" hidden="false" customHeight="false" outlineLevel="0" collapsed="false">
      <c r="A52" s="12" t="s">
        <v>577</v>
      </c>
      <c r="B52" s="12" t="s">
        <v>578</v>
      </c>
      <c r="C52" s="12" t="n">
        <v>0</v>
      </c>
      <c r="D52" s="12" t="s">
        <v>535</v>
      </c>
      <c r="E52" s="12" t="s">
        <v>579</v>
      </c>
    </row>
    <row r="53" customFormat="false" ht="23.85" hidden="false" customHeight="false" outlineLevel="0" collapsed="false">
      <c r="A53" s="12" t="s">
        <v>580</v>
      </c>
      <c r="B53" s="12" t="s">
        <v>581</v>
      </c>
      <c r="C53" s="12" t="n">
        <v>0</v>
      </c>
      <c r="D53" s="12" t="s">
        <v>554</v>
      </c>
      <c r="E53" s="12" t="s">
        <v>582</v>
      </c>
    </row>
  </sheetData>
  <conditionalFormatting sqref="D6:D25">
    <cfRule type="expression" priority="2" aboveAverage="0" equalAverage="0" bottom="0" percent="0" rank="0" text="" dxfId="0">
      <formula>D6="OK"</formula>
    </cfRule>
    <cfRule type="expression" priority="3" aboveAverage="0" equalAverage="0" bottom="0" percent="0" rank="0" text="" dxfId="1">
      <formula>D6="ОШИБКА"</formula>
    </cfRule>
    <cfRule type="expression" priority="4" aboveAverage="0" equalAverage="0" bottom="0" percent="0" rank="0" text="" dxfId="2">
      <formula>D6="НЕТ ДАННЫХ"</formula>
    </cfRule>
  </conditionalFormatting>
  <conditionalFormatting sqref="D33">
    <cfRule type="expression" priority="5" aboveAverage="0" equalAverage="0" bottom="0" percent="0" rank="0" text="" dxfId="0">
      <formula>D33="OK"</formula>
    </cfRule>
    <cfRule type="expression" priority="6" aboveAverage="0" equalAverage="0" bottom="0" percent="0" rank="0" text="" dxfId="1">
      <formula>D33="ОШИБКА"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2026-10-18T15:56:42Z</dcterms:created>
  <dc:creator>openpyxl</dc:creator>
  <dc:description/>
  <dc:language>en-US</dc:language>
  <cp:lastModifiedBy/>
  <dcterms:modified xsi:type="dcterms:W3CDTF">2026-10-18T20:56:44Z</dcterms:modified>
  <cp:revision>1</cp:revision>
  <dc:subject/>
  <dc:title>Модель этапа 1 HomePrice.uz v0.1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