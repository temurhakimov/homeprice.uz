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ходные данные" sheetId="1" state="visible" r:id="rId3"/>
    <sheet name="Вопросы к Темуру" sheetId="2" state="visible" r:id="rId4"/>
    <sheet name="Юнит-экономика" sheetId="3" state="visible" r:id="rId5"/>
    <sheet name="Воронка" sheetId="4" state="visible" r:id="rId6"/>
    <sheet name="Сценарии_BEP" sheetId="5" state="visible" r:id="rId7"/>
    <sheet name="D10_I1" sheetId="6" state="visible" r:id="rId8"/>
    <sheet name="Чувствительность" sheetId="7" state="visible" r:id="rId9"/>
    <sheet name="Проверка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<sst xmlns="http://schemas.openxmlformats.org/spreadsheetml/2006/main" count="1077" uniqueCount="768">
  <si>
    <t xml:space="preserve">Модель этапа 1 HomePrice.uz v0.2 — Входные данные</t>
  </si>
  <si>
    <t xml:space="preserve">Единицы: сум, если не указано иное. Формулы других листов читают только этот лист. Ячейка «База» (столбец F) — то, что вы вводите; «Пессимист» и «Оптимист» берутся из неё, если не заданы отдельно. Ответы владельца от 18.10.2026 (форма) внесены.</t>
  </si>
  <si>
    <t xml:space="preserve">Цветовая разметка</t>
  </si>
  <si>
    <t xml:space="preserve">[факт] — известно от владельца или из документов (18.10.2026); [проверить] — со слов, не сверено с учётом</t>
  </si>
  <si>
    <t xml:space="preserve">[гипотеза] — предположение; часть помечена [проверить]</t>
  </si>
  <si>
    <t xml:space="preserve">[заглушка] — временное значение до данных (market_sizing.xlsx и др.), не оценка</t>
  </si>
  <si>
    <t xml:space="preserve">нужно от Темура — пусто, пока нет данных; модель считает пустое как 0 и сообщает об этом в листе «Проверка»</t>
  </si>
  <si>
    <t xml:space="preserve">[выбор] — переключатель модели</t>
  </si>
  <si>
    <t xml:space="preserve">Статус проверки модели:</t>
  </si>
  <si>
    <t xml:space="preserve">№</t>
  </si>
  <si>
    <t xml:space="preserve">Параметр</t>
  </si>
  <si>
    <t xml:space="preserve">Ед.</t>
  </si>
  <si>
    <t xml:space="preserve">Статус</t>
  </si>
  <si>
    <t xml:space="preserve">Пессимист</t>
  </si>
  <si>
    <t xml:space="preserve">База</t>
  </si>
  <si>
    <t xml:space="preserve">Оптимист</t>
  </si>
  <si>
    <t xml:space="preserve">Источник</t>
  </si>
  <si>
    <t xml:space="preserve">Комментарий / что нужно</t>
  </si>
  <si>
    <t xml:space="preserve">A. Цена отчёта уровня 3 и срок</t>
  </si>
  <si>
    <t xml:space="preserve">P01</t>
  </si>
  <si>
    <t xml:space="preserve">Доля заказов по ~800 тыс. сум</t>
  </si>
  <si>
    <t xml:space="preserve">%</t>
  </si>
  <si>
    <t xml:space="preserve">[факт][проверить]</t>
  </si>
  <si>
    <t xml:space="preserve">Владелец, форма 18.10.2026, вопрос 1</t>
  </si>
  <si>
    <t xml:space="preserve">Оценка по памяти, не выгрузка из учёта.</t>
  </si>
  <si>
    <t xml:space="preserve">P02</t>
  </si>
  <si>
    <t xml:space="preserve">Доля заказов по ~1 млн сум</t>
  </si>
  <si>
    <t xml:space="preserve">То же.</t>
  </si>
  <si>
    <t xml:space="preserve">P03</t>
  </si>
  <si>
    <t xml:space="preserve">Доля заказов дороже 1 млн сум</t>
  </si>
  <si>
    <t xml:space="preserve">То же. Сумма трёх долей должна быть 100% (проверка C).</t>
  </si>
  <si>
    <t xml:space="preserve">P04</t>
  </si>
  <si>
    <t xml:space="preserve">Цена «лёгкого» заказа</t>
  </si>
  <si>
    <t xml:space="preserve">сум</t>
  </si>
  <si>
    <t xml:space="preserve">[факт]</t>
  </si>
  <si>
    <t xml:space="preserve">«Бывает, что делаем и за 800 000».</t>
  </si>
  <si>
    <t xml:space="preserve">P05</t>
  </si>
  <si>
    <t xml:space="preserve">Цена обычного заказа</t>
  </si>
  <si>
    <t xml:space="preserve">Владелец, форма 18.10.2026, вопрос 1; 05_4P</t>
  </si>
  <si>
    <t xml:space="preserve">Средний по Ташкенту.</t>
  </si>
  <si>
    <t xml:space="preserve">P06</t>
  </si>
  <si>
    <t xml:space="preserve">Типичная цена заказа «дороже»</t>
  </si>
  <si>
    <t xml:space="preserve">Оценка.</t>
  </si>
  <si>
    <t xml:space="preserve">P07</t>
  </si>
  <si>
    <t xml:space="preserve">Средняя цена отчёта (формула по долям выше)</t>
  </si>
  <si>
    <t xml:space="preserve">Расчёт по долям и ценам</t>
  </si>
  <si>
    <t xml:space="preserve">Формула в столбце «База»: можно заменить числом.</t>
  </si>
  <si>
    <t xml:space="preserve">P08</t>
  </si>
  <si>
    <t xml:space="preserve">Срок отчёта</t>
  </si>
  <si>
    <t xml:space="preserve">дней</t>
  </si>
  <si>
    <t xml:space="preserve">05_4P; 02_Marketing_Context</t>
  </si>
  <si>
    <t xml:space="preserve">Цель — 1 день. В расчёте не используется.</t>
  </si>
  <si>
    <t xml:space="preserve">P09</t>
  </si>
  <si>
    <t xml:space="preserve">Цена включает НДС? (1 = да, 0 = нет)</t>
  </si>
  <si>
    <t xml:space="preserve">1/0</t>
  </si>
  <si>
    <t xml:space="preserve">Владелец, форма 18.10.2026, вопрос 2</t>
  </si>
  <si>
    <t xml:space="preserve">KMT не платит НДС.</t>
  </si>
  <si>
    <t xml:space="preserve">P10</t>
  </si>
  <si>
    <t xml:space="preserve">Ставка НДС</t>
  </si>
  <si>
    <t xml:space="preserve">0, так как KMT не плательщик. Статус Bizzone по НДС не уточнялся.</t>
  </si>
  <si>
    <t xml:space="preserve">P11</t>
  </si>
  <si>
    <t xml:space="preserve">Курс сум за доллар (справочно)</t>
  </si>
  <si>
    <t xml:space="preserve">сум/$</t>
  </si>
  <si>
    <t xml:space="preserve">[гипотеза][проверить]</t>
  </si>
  <si>
    <t xml:space="preserve">05_4P, 14_Rebaseline п.4.1</t>
  </si>
  <si>
    <t xml:space="preserve">Только для пересчёта допустимой стоимости привлечения в доллары. Проверить на дату.</t>
  </si>
  <si>
    <t xml:space="preserve">B. Прибыль (маржа) и прямые затраты одного заказа</t>
  </si>
  <si>
    <t xml:space="preserve">P12</t>
  </si>
  <si>
    <t xml:space="preserve">Метод маржи (1 = процент, 2 = построчно, 3 = средняя прибыль в сумах)</t>
  </si>
  <si>
    <t xml:space="preserve">1/2/3</t>
  </si>
  <si>
    <t xml:space="preserve">[выбор]</t>
  </si>
  <si>
    <t xml:space="preserve">Решение модели</t>
  </si>
  <si>
    <t xml:space="preserve">3 — по ответу владельца (вопрос 3). 2 — построчно, пока считается как проверка.</t>
  </si>
  <si>
    <t xml:space="preserve">P13</t>
  </si>
  <si>
    <t xml:space="preserve">Средняя прибыль с одного заказа (метод 3)</t>
  </si>
  <si>
    <t xml:space="preserve">сум/заказ</t>
  </si>
  <si>
    <t xml:space="preserve">Владелец, форма 18.10.2026, вопрос 3 и 5</t>
  </si>
  <si>
    <t xml:space="preserve">Пессимист — самая маленькая (300 тыс.), База — средняя (400 тыс.) со слов. Оптимист 700 тыс. — [гипотеза]: построчные затраты из вопросов 4–5 дают 700 тыс.; разница с 400 тыс. — возможно, административные расходы и офис, которые для дополнительного заказа не растут. Максимум 900 тыс. не используется (одиночный заказ).</t>
  </si>
  <si>
    <t xml:space="preserve">P14</t>
  </si>
  <si>
    <t xml:space="preserve">Маржа, % выручки (метод 1, прежняя оценка ≈50%)</t>
  </si>
  <si>
    <t xml:space="preserve">[гипотеза]</t>
  </si>
  <si>
    <t xml:space="preserve">Владелец 18.10 (первая оценка); пессимист — заглушка из 14 п.4.1</t>
  </si>
  <si>
    <t xml:space="preserve">Не используется при методе 3. Оставлена для сравнения.</t>
  </si>
  <si>
    <t xml:space="preserve">P15</t>
  </si>
  <si>
    <t xml:space="preserve">Гонорар или зарплата оценщика</t>
  </si>
  <si>
    <t xml:space="preserve">Владелец, форма 18.10.2026, вопрос 5</t>
  </si>
  <si>
    <t xml:space="preserve">Для метода 2 и сверки с вопросом 3.</t>
  </si>
  <si>
    <t xml:space="preserve">P16</t>
  </si>
  <si>
    <t xml:space="preserve">Выезд (стоимость × доля заказов с выездом)</t>
  </si>
  <si>
    <t xml:space="preserve">Владелец, форма 18.10.2026, вопрос 4</t>
  </si>
  <si>
    <t xml:space="preserve">100 000 сум на выезд, нужен у 100% заказов.</t>
  </si>
  <si>
    <t xml:space="preserve">P17</t>
  </si>
  <si>
    <t xml:space="preserve">Проверка документов, оформление отчёта</t>
  </si>
  <si>
    <t xml:space="preserve">P18</t>
  </si>
  <si>
    <t xml:space="preserve">Налоги и сборы с заказа</t>
  </si>
  <si>
    <t xml:space="preserve">P19</t>
  </si>
  <si>
    <t xml:space="preserve">Платёжные и банковские комиссии</t>
  </si>
  <si>
    <t xml:space="preserve">Банк включён в строку «прочее» (dc6).</t>
  </si>
  <si>
    <t xml:space="preserve">P20</t>
  </si>
  <si>
    <t xml:space="preserve">Прочее: связь, печать, банк</t>
  </si>
  <si>
    <t xml:space="preserve">P21</t>
  </si>
  <si>
    <t xml:space="preserve">Юридические и страховые расходы (ответственность оценщика)</t>
  </si>
  <si>
    <t xml:space="preserve">нужно от Темура</t>
  </si>
  <si>
    <t xml:space="preserve">—</t>
  </si>
  <si>
    <t xml:space="preserve">Не спрашивалось. Администратор и офис, которые владелец вычитал в вопросе 3, в вопросе 5 не названы — см. сверку в «Юнит-экономика».</t>
  </si>
  <si>
    <t xml:space="preserve">C. Решения I1, D10, агрегатор и партнёры</t>
  </si>
  <si>
    <t xml:space="preserve">P22</t>
  </si>
  <si>
    <t xml:space="preserve">I1: кому идут заказы (1 = только KMT, 2 = агрегатор: часть заказов уходит партнёрам с комиссией проекту)</t>
  </si>
  <si>
    <t xml:space="preserve">1/2</t>
  </si>
  <si>
    <t xml:space="preserve">Решение за владельцем; в 08 не записано</t>
  </si>
  <si>
    <t xml:space="preserve">Ответы на вопросы 13–14 прочитаны как намерение подключить партнёров. Переключатель 1 даёт вариант «только KMT»; оба варианта рядом — в листе D10_I1.</t>
  </si>
  <si>
    <t xml:space="preserve">P23</t>
  </si>
  <si>
    <t xml:space="preserve">D10: что видит клиент после оценки (1 = блок KMT с контактами без формы, 2 = нейтральный текст)</t>
  </si>
  <si>
    <t xml:space="preserve">Владелец 18.10: блок KMT с контактами, без формы до A4</t>
  </si>
  <si>
    <t xml:space="preserve">Решение за владельцем. Блок «только KMT» не совместим с передачей 70% заказов партнёрам: для партнёров нужен нейтральный список оценщиков (D10-г, не смоделирован).</t>
  </si>
  <si>
    <t xml:space="preserve">P24</t>
  </si>
  <si>
    <t xml:space="preserve">Берёт ли проект (Bizzone) комиссию и с заказов, идущих в KMT? (1 = да, 0 = нет)</t>
  </si>
  <si>
    <t xml:space="preserve">Владелец, форма 18.10.2026, вопрос 13</t>
  </si>
  <si>
    <t xml:space="preserve">«Да, и с заказов KMT».</t>
  </si>
  <si>
    <t xml:space="preserve">P25</t>
  </si>
  <si>
    <t xml:space="preserve">Комиссия сайта как агрегатора, % от суммы договора без НДС</t>
  </si>
  <si>
    <t xml:space="preserve">Владелец 18.10; Владелец, форма 18.10.2026, вопрос 13</t>
  </si>
  <si>
    <t xml:space="preserve">Платит оценочная компания-партнёр. Для заказов KMT — межгрупповой платёж.</t>
  </si>
  <si>
    <t xml:space="preserve">P26</t>
  </si>
  <si>
    <t xml:space="preserve">Доля заказов с сайта, которая уходит партнёрам (после их подключения)</t>
  </si>
  <si>
    <t xml:space="preserve">Владелец, форма 18.10.2026, вопрос 14</t>
  </si>
  <si>
    <t xml:space="preserve">Оценка владельца. Работает только при I1 = 2.</t>
  </si>
  <si>
    <t xml:space="preserve">P27</t>
  </si>
  <si>
    <t xml:space="preserve">Партнёры принимают заказы после месяца №… от запуска</t>
  </si>
  <si>
    <t xml:space="preserve">мес</t>
  </si>
  <si>
    <t xml:space="preserve">База = «через 6 месяцев» со слов владельца. Пессимист и оптимист ±3 месяца — моя гипотеза, не данные.</t>
  </si>
  <si>
    <t xml:space="preserve">P28</t>
  </si>
  <si>
    <t xml:space="preserve">Средний договор партнёра, без НДС</t>
  </si>
  <si>
    <t xml:space="preserve">Совпадает с чеком KMT; сколько платят партнёры, неизвестно.</t>
  </si>
  <si>
    <t xml:space="preserve">P29</t>
  </si>
  <si>
    <t xml:space="preserve">Доля прибыли KMT (после комиссии), передаваемая проекту</t>
  </si>
  <si>
    <t xml:space="preserve">Владелец, форма 18.10.2026, вопрос 16</t>
  </si>
  <si>
    <t xml:space="preserve">Вся прибыль заказа остаётся в KMT; проект получает только комиссию. Если нужно иначе — сюда.</t>
  </si>
  <si>
    <t xml:space="preserve">P30</t>
  </si>
  <si>
    <t xml:space="preserve">Доля заказов от рекомендателей (банк, брокер, нотариус) с вознаграждением</t>
  </si>
  <si>
    <t xml:space="preserve">Владелец, форма 18.10.2026, вопрос 15</t>
  </si>
  <si>
    <t xml:space="preserve">Платить планируют 10% от чека, но сколько заказов придёт этим путём — не известно. Пусто = 0.</t>
  </si>
  <si>
    <t xml:space="preserve">P31</t>
  </si>
  <si>
    <t xml:space="preserve">Вознаграждение рекомендателю, % от чека</t>
  </si>
  <si>
    <t xml:space="preserve">Планируют платить 10%. Допустимость — вопрос юристу (14 п.4.3).</t>
  </si>
  <si>
    <t xml:space="preserve">P32</t>
  </si>
  <si>
    <t xml:space="preserve">D10 = нейтральный текст: какая доля заказов сохраняется относительно блока KMT</t>
  </si>
  <si>
    <t xml:space="preserve">[заглушка]</t>
  </si>
  <si>
    <t xml:space="preserve">Данных нет. Измерять по кликам на первых 100 результатах (14 п.4.2).</t>
  </si>
  <si>
    <t xml:space="preserve">D. Допустимое привлечение, мощность и пороги</t>
  </si>
  <si>
    <t xml:space="preserve">P33</t>
  </si>
  <si>
    <t xml:space="preserve">Потолок доли дохода с заказа на привлечение</t>
  </si>
  <si>
    <t xml:space="preserve">14_Rebaseline п.4.1: рабочий потолок 20%, только для расчётов</t>
  </si>
  <si>
    <t xml:space="preserve">Не измерено на этом рынке. Пересмотр на неделе 8–10.</t>
  </si>
  <si>
    <t xml:space="preserve">P34</t>
  </si>
  <si>
    <t xml:space="preserve">Маркетинговый бюджет в месяц (постоянный)</t>
  </si>
  <si>
    <t xml:space="preserve">сум/мес</t>
  </si>
  <si>
    <t xml:space="preserve">08_Decisions п.5; Владелец, форма 18.10.2026, вопрос 12</t>
  </si>
  <si>
    <t xml:space="preserve">Постоянного бюджета нет; разовая проба — в блоке H.</t>
  </si>
  <si>
    <t xml:space="preserve">P35</t>
  </si>
  <si>
    <t xml:space="preserve">Заказов в месяц у KMT сейчас</t>
  </si>
  <si>
    <t xml:space="preserve">шт/мес</t>
  </si>
  <si>
    <t xml:space="preserve">Владелец, форма 18.10.2026, вопрос 17</t>
  </si>
  <si>
    <t xml:space="preserve">P36</t>
  </si>
  <si>
    <t xml:space="preserve">Максимум заказов в месяц без найма</t>
  </si>
  <si>
    <t xml:space="preserve">Запас для заказов с сайта = максимум − сейчас. Пусто или 0 = ограничения нет.</t>
  </si>
  <si>
    <t xml:space="preserve">P37</t>
  </si>
  <si>
    <t xml:space="preserve">Приемлемый срок окупаемости</t>
  </si>
  <si>
    <t xml:space="preserve">Владелец, форма 18.10.2026, вопрос 12</t>
  </si>
  <si>
    <t xml:space="preserve">Сравнивается с результатом листа «Сценарии_BEP».</t>
  </si>
  <si>
    <t xml:space="preserve">E. Воронка</t>
  </si>
  <si>
    <t xml:space="preserve">P38</t>
  </si>
  <si>
    <t xml:space="preserve">Расчётов уровня 1 в месяц (в режиме)</t>
  </si>
  <si>
    <t xml:space="preserve">Оставлено по решению владельца (вопрос 20); market_sizing.xlsx пока не подключён</t>
  </si>
  <si>
    <t xml:space="preserve">Не прогноз. Это самое слабое место модели.</t>
  </si>
  <si>
    <t xml:space="preserve">P39</t>
  </si>
  <si>
    <t xml:space="preserve">Конверсия посетитель → расчёт</t>
  </si>
  <si>
    <t xml:space="preserve">Измерять (E2)</t>
  </si>
  <si>
    <t xml:space="preserve">Данных воронки нет. Пусто = число посетителей не считается.</t>
  </si>
  <si>
    <t xml:space="preserve">P40</t>
  </si>
  <si>
    <t xml:space="preserve">Конверсия расчёт → интерес (контакт или клик по блоку KMT)</t>
  </si>
  <si>
    <t xml:space="preserve">05_4P: контакт 15–25% от ур.1</t>
  </si>
  <si>
    <t xml:space="preserve">До A4 контактов нет: измеряется анонимным кликом по блоку KMT.</t>
  </si>
  <si>
    <t xml:space="preserve">P41</t>
  </si>
  <si>
    <t xml:space="preserve">Конверсия интерес → заказ уровня 3</t>
  </si>
  <si>
    <t xml:space="preserve">Владелец, форма 18.10.2026, вопрос 20 (5% в сценариях «Осторожный» и «Базовый»; «Оптимистичный» оставлен по умолчанию 5%)</t>
  </si>
  <si>
    <t xml:space="preserve">Ввод владельца заменил мои 2% / 3,5% / 5% из 05_4P. Во всех трёх сценариях одно значение: разброс сценариев занижен. Таблицы с 2% и 3,5% — в «Чувствительности».</t>
  </si>
  <si>
    <t xml:space="preserve">P42</t>
  </si>
  <si>
    <t xml:space="preserve">Доля заказов, которых KMT не получил бы без HomePrice</t>
  </si>
  <si>
    <t xml:space="preserve">Владелец, форма 18.10.2026, вопрос 18</t>
  </si>
  <si>
    <t xml:space="preserve">«Почти все (около 90%)».</t>
  </si>
  <si>
    <t xml:space="preserve">P43</t>
  </si>
  <si>
    <t xml:space="preserve">Месяцев выхода на режим</t>
  </si>
  <si>
    <t xml:space="preserve">05_4P: органика 6–8 недель</t>
  </si>
  <si>
    <t xml:space="preserve">Линейный рост объёма от 0 до режима.</t>
  </si>
  <si>
    <t xml:space="preserve">F. Постоянные операционные расходы (в месяц)</t>
  </si>
  <si>
    <t xml:space="preserve">P44</t>
  </si>
  <si>
    <t xml:space="preserve">Хостинг и сервисы</t>
  </si>
  <si>
    <t xml:space="preserve">Владелец, форма 18.10.2026, вопрос 9</t>
  </si>
  <si>
    <t xml:space="preserve">Сервер в РУз, домен, Telegram-бот, аналитика, SMS-сервис, ИИ-ассистент, резервные копии; без НДС; останется таким.</t>
  </si>
  <si>
    <t xml:space="preserve">P45</t>
  </si>
  <si>
    <t xml:space="preserve">SMS-рассылки + колл-центр + другое</t>
  </si>
  <si>
    <t xml:space="preserve">Владелец, форма 18.10.2026, вопрос 10</t>
  </si>
  <si>
    <t xml:space="preserve">1 000 000 SMS + 5 000 000 колл-центр + 500 000 другое. Колл-центр — самая большая статья: проверить, нужен ли он с первого месяца.</t>
  </si>
  <si>
    <t xml:space="preserve">G. Часы команды и ставки</t>
  </si>
  <si>
    <t xml:space="preserve">P46</t>
  </si>
  <si>
    <t xml:space="preserve">Единицы часов (1 = в неделю, 2 = в месяц, 3 = на весь этап 1)</t>
  </si>
  <si>
    <t xml:space="preserve">Владелец, форма 18.10.2026, вопрос 6</t>
  </si>
  <si>
    <t xml:space="preserve">Все трое — в неделю.</t>
  </si>
  <si>
    <t xml:space="preserve">P47</t>
  </si>
  <si>
    <t xml:space="preserve">Длительность этапа 1 (разработка и запуск)</t>
  </si>
  <si>
    <t xml:space="preserve">Разработка идёт до запуска; 12 месяцев работы считаются после неё.</t>
  </si>
  <si>
    <t xml:space="preserve">P48</t>
  </si>
  <si>
    <t xml:space="preserve">Часы: Темур</t>
  </si>
  <si>
    <t xml:space="preserve">ч/период</t>
  </si>
  <si>
    <t xml:space="preserve">Владелец 18.10: 15–20</t>
  </si>
  <si>
    <t xml:space="preserve">Пессимист = 20, оптимист = 15.</t>
  </si>
  <si>
    <t xml:space="preserve">P49</t>
  </si>
  <si>
    <t xml:space="preserve">Часы: Равшан</t>
  </si>
  <si>
    <t xml:space="preserve">Так же.</t>
  </si>
  <si>
    <t xml:space="preserve">P50</t>
  </si>
  <si>
    <t xml:space="preserve">Часы: Азиз</t>
  </si>
  <si>
    <t xml:space="preserve">Владелец 18.10: 50</t>
  </si>
  <si>
    <t xml:space="preserve">50 часов в неделю: больше полной занятости (40 ч).</t>
  </si>
  <si>
    <t xml:space="preserve">P51</t>
  </si>
  <si>
    <t xml:space="preserve">Как читать ставку (1 = сум за час, 2 = сум за месяц полной занятости, пропорционально часам, 3 = сум за месяц как есть, независимо от часов)</t>
  </si>
  <si>
    <t xml:space="preserve">Владелец, форма 18.10.2026, вопрос 8: «по рыночной ставке, сум за месяц»</t>
  </si>
  <si>
    <t xml:space="preserve">Чтение 2 — мой выбор [проверить]: ставка = рыночная цена полного месяца, оплачиваются фактические часы. Чтение 3 даёт другой результат (см. «Чувствительность», таблица 12).</t>
  </si>
  <si>
    <t xml:space="preserve">P52</t>
  </si>
  <si>
    <t xml:space="preserve">Часов в неделю при полной занятости</t>
  </si>
  <si>
    <t xml:space="preserve">ч/нед</t>
  </si>
  <si>
    <t xml:space="preserve">Нужно только для чтения 2.</t>
  </si>
  <si>
    <t xml:space="preserve">P53</t>
  </si>
  <si>
    <t xml:space="preserve">Ставка: Темур</t>
  </si>
  <si>
    <t xml:space="preserve">Владелец, форма 18.10.2026, вопрос 8</t>
  </si>
  <si>
    <t xml:space="preserve">Рыночная ставка по оценке владельца.</t>
  </si>
  <si>
    <t xml:space="preserve">P54</t>
  </si>
  <si>
    <t xml:space="preserve">Ставка: Равшан</t>
  </si>
  <si>
    <t xml:space="preserve">P55</t>
  </si>
  <si>
    <t xml:space="preserve">Ставка: Азиз</t>
  </si>
  <si>
    <t xml:space="preserve">P56</t>
  </si>
  <si>
    <t xml:space="preserve">Доля часов Темура на разработку и запуск (разово)</t>
  </si>
  <si>
    <t xml:space="preserve">Владелец, форма 18.10.2026, вопрос 7</t>
  </si>
  <si>
    <t xml:space="preserve">100%: после запуска Темур в расчёте не работает. Проверить, так ли это на самом деле (контент, партнёры).</t>
  </si>
  <si>
    <t xml:space="preserve">P57</t>
  </si>
  <si>
    <t xml:space="preserve">Доля часов Равшана на разработку и запуск (разово)</t>
  </si>
  <si>
    <t xml:space="preserve">P58</t>
  </si>
  <si>
    <t xml:space="preserve">Доля часов Азиза на разработку и запуск (разово)</t>
  </si>
  <si>
    <t xml:space="preserve">Остальные 20% — постоянная работа.</t>
  </si>
  <si>
    <t xml:space="preserve">H. Разовые расходы разработки и запуска (вне операционных)</t>
  </si>
  <si>
    <t xml:space="preserve">P59</t>
  </si>
  <si>
    <t xml:space="preserve">Юрист, документы pd.gov.uz</t>
  </si>
  <si>
    <t xml:space="preserve">Владелец, форма 18.10.2026, вопрос 11</t>
  </si>
  <si>
    <t xml:space="preserve">P60</t>
  </si>
  <si>
    <t xml:space="preserve">Пошлины и регистрации</t>
  </si>
  <si>
    <t xml:space="preserve">0 со слов; проверить, действительно ли пошлин нет.</t>
  </si>
  <si>
    <t xml:space="preserve">P61</t>
  </si>
  <si>
    <t xml:space="preserve">Договоры Click/Payme, платёжная интеграция</t>
  </si>
  <si>
    <t xml:space="preserve">0 со слов; проверить.</t>
  </si>
  <si>
    <t xml:space="preserve">P62</t>
  </si>
  <si>
    <t xml:space="preserve">Внешняя разработка, дизайн</t>
  </si>
  <si>
    <t xml:space="preserve">P63</t>
  </si>
  <si>
    <t xml:space="preserve">Пробная реклама (разово)</t>
  </si>
  <si>
    <t xml:space="preserve">Предел потерь на пробу привлечения (микротест).</t>
  </si>
  <si>
    <t xml:space="preserve">I. Реакция спроса на цену (для проверки цены ±10% и ±20%)</t>
  </si>
  <si>
    <t xml:space="preserve">P64</t>
  </si>
  <si>
    <t xml:space="preserve">Изменение числа заказов при росте цены на 10%</t>
  </si>
  <si>
    <t xml:space="preserve">доля</t>
  </si>
  <si>
    <t xml:space="preserve">Владелец, форма 18.10.2026, вопрос 19: «заметно меньше (на 15–20%)»</t>
  </si>
  <si>
    <t xml:space="preserve">Взята середина диапазона.</t>
  </si>
  <si>
    <t xml:space="preserve">Рынок: размер подтянуть из market_sizing.xlsx, когда он будет готов (сейчас — заглушка в строке «Расчётов уровня 1 в месяц»).</t>
  </si>
  <si>
    <t xml:space="preserve">Вопросы к Темуру: что осталось уточнить после ответов 18.10.2026</t>
  </si>
  <si>
    <t xml:space="preserve">Красных входов осталось немного; главный вопрос — размер рынка (market_sizing.xlsx), без него сценарии объёма остаются заглушкой.</t>
  </si>
  <si>
    <t xml:space="preserve">Вопрос</t>
  </si>
  <si>
    <t xml:space="preserve">Зачем (какие ячейки)</t>
  </si>
  <si>
    <t xml:space="preserve">Формат ответа</t>
  </si>
  <si>
    <t xml:space="preserve">Q1</t>
  </si>
  <si>
    <t xml:space="preserve">Прибыль с заказа: вы назвали среднюю 400 тыс. сум, а построчные затраты (гонорар 100 тыс., выезд 100 тыс., документы 20 тыс., налоги 70 тыс., прочее 10 тыс.) дают 700 тыс. Что входит в оставшиеся 300 тыс. (администратор, офис, юридические)? Они растут с каждым заказом или это постоянные расходы?</t>
  </si>
  <si>
    <t xml:space="preserve">margin_abs, dc7. Если постоянные — для дополнительного заказа прибыль ближе к 700 тыс.</t>
  </si>
  <si>
    <t xml:space="preserve">Список статей и сумма</t>
  </si>
  <si>
    <t xml:space="preserve">Q2</t>
  </si>
  <si>
    <t xml:space="preserve">Ставки 20 / 20 / 5 млн сум в месяц: это цена полного месяца (40 ч в неделю), из которой оплачиваются фактические часы, или сумма за ваши фактические часы как есть? Сейчас принято первое.</t>
  </si>
  <si>
    <t xml:space="preserve">rate_mode. Разница видна в таблице 12 листа «Чувствительность»</t>
  </si>
  <si>
    <t xml:space="preserve">1 / 2 / 3</t>
  </si>
  <si>
    <t xml:space="preserve">Q3</t>
  </si>
  <si>
    <t xml:space="preserve">Темур и Равшан — 100% на разработку: после запуска их время в проекте не считается. Так и есть? Кто ведёт контент, партнёров, ответы клиентам после запуска?</t>
  </si>
  <si>
    <t xml:space="preserve">dT, dR. Влияет на постоянные расходы</t>
  </si>
  <si>
    <t xml:space="preserve">Доли %</t>
  </si>
  <si>
    <t xml:space="preserve">Q4</t>
  </si>
  <si>
    <t xml:space="preserve">Колл-центр 5 млн сум в месяц с первого месяца: нужен ли он при нескольких заказах в месяц? Это самая большая статья после труда.</t>
  </si>
  <si>
    <t xml:space="preserve">oth. Меняет БУ в разы</t>
  </si>
  <si>
    <t xml:space="preserve">Да/нет и сумма</t>
  </si>
  <si>
    <t xml:space="preserve">Q5</t>
  </si>
  <si>
    <t xml:space="preserve">Конверсия интерес → заказ: вы ввели 5% в сценариях «Осторожный» и «Базовый» (в «Оптимистичном» осталось 5% по умолчанию). Все три сценария на 5% — это намеренно? Если да, чем «Осторожный» хуже? Мои исходные 2% / 3,5% есть в таблицах чувствительности.</t>
  </si>
  <si>
    <t xml:space="preserve">c2</t>
  </si>
  <si>
    <t xml:space="preserve">Три числа</t>
  </si>
  <si>
    <t xml:space="preserve">Q6</t>
  </si>
  <si>
    <t xml:space="preserve">Вознаграждение рекомендателям 10%: для скольких заказов из 100 планируется (банки, брокеры, нотариусы)? Юрист: допустимо ли оно?</t>
  </si>
  <si>
    <t xml:space="preserve">share_ref. Пока 0</t>
  </si>
  <si>
    <t xml:space="preserve">Доля %, решение юриста</t>
  </si>
  <si>
    <t xml:space="preserve">Q7</t>
  </si>
  <si>
    <t xml:space="preserve">Договор между Bizzone и KMT о комиссии 10% с заказов KMT: оформляется или только идея? Платит ли комиссию партнёр сверху к своей цене или из неё?</t>
  </si>
  <si>
    <t xml:space="preserve">agg_kmt, fee</t>
  </si>
  <si>
    <t xml:space="preserve">Да/нет</t>
  </si>
  <si>
    <t xml:space="preserve">Q8</t>
  </si>
  <si>
    <t xml:space="preserve">Партнёры берут 70% заказов с сайта через 6 месяцев. Достаточно ли 3–5 партнёров на такую долю? А «блок KMT с контактами» (D10 б+) при этом остаётся? Он не передаёт заказы партнёрам.</t>
  </si>
  <si>
    <t xml:space="preserve">sp, pstart, sel_i1, sel_d10 (решения за вами)</t>
  </si>
  <si>
    <t xml:space="preserve">Решение</t>
  </si>
  <si>
    <t xml:space="preserve">Q9</t>
  </si>
  <si>
    <t xml:space="preserve">Статус Bizzone по НДС: комиссия сайта 10% облагается НДС?</t>
  </si>
  <si>
    <t xml:space="preserve">fee, vat_incl</t>
  </si>
  <si>
    <t xml:space="preserve">Да/нет и ставка</t>
  </si>
  <si>
    <t xml:space="preserve">Q10</t>
  </si>
  <si>
    <t xml:space="preserve">Когда будет готов market_sizing.xlsx и какая доля рынка достижима? Сейчас объём расчётов — заглушка 100 / 300 / 900 в месяц.</t>
  </si>
  <si>
    <t xml:space="preserve">calcs (главная неопределённость модели)</t>
  </si>
  <si>
    <t xml:space="preserve">Дата и доля</t>
  </si>
  <si>
    <t xml:space="preserve">Q11</t>
  </si>
  <si>
    <t xml:space="preserve">Нулевые пошлины и платёжная интеграция (Click/Payme): действительно ноль?</t>
  </si>
  <si>
    <t xml:space="preserve">ot2, ot3</t>
  </si>
  <si>
    <t xml:space="preserve">Q12</t>
  </si>
  <si>
    <t xml:space="preserve">Доли заказов 15% / 75% / 10% по цене — по памяти или по учёту? Можно ли выгрузить последние 30 заказов (цена, прибыль)?</t>
  </si>
  <si>
    <t xml:space="preserve">p800, p1m, pHigh, margin_abs</t>
  </si>
  <si>
    <t xml:space="preserve">Выгрузка без ФИО</t>
  </si>
  <si>
    <t xml:space="preserve">Юнит-экономика заказа уровня 3 (отчёт KMT) и комиссия агрегатора</t>
  </si>
  <si>
    <t xml:space="preserve">Все числа — из листа «Входные данные». «Владелец» = KMT и проект вместе (комиссия внутри группы взаимно гасится). «Проект» = только Bizzone.</t>
  </si>
  <si>
    <t xml:space="preserve">Показатель</t>
  </si>
  <si>
    <t xml:space="preserve">Комментарий</t>
  </si>
  <si>
    <t xml:space="preserve">1. Выручка и прямые затраты заказа KMT</t>
  </si>
  <si>
    <t xml:space="preserve">Средняя цена отчёта</t>
  </si>
  <si>
    <t xml:space="preserve">По долям заказов 800 тыс. / 1 млн / дороже (вопрос 1)</t>
  </si>
  <si>
    <t xml:space="preserve">НДС в цене</t>
  </si>
  <si>
    <t xml:space="preserve">[факт] KMT не платит НДС</t>
  </si>
  <si>
    <t xml:space="preserve">Выручка без НДС</t>
  </si>
  <si>
    <t xml:space="preserve">Сумма построчных прямых затрат (метод 2)</t>
  </si>
  <si>
    <t xml:space="preserve">Вопросы 4–5; юридические и страховые (dc7) не названы</t>
  </si>
  <si>
    <t xml:space="preserve">Прибыль заказа по оценке владельца (методы 1 и 3)</t>
  </si>
  <si>
    <t xml:space="preserve">Метод 3: средняя прибыль со слов владельца</t>
  </si>
  <si>
    <t xml:space="preserve">Прямые затраты на заказ</t>
  </si>
  <si>
    <t xml:space="preserve">При методе 3 затраты = выручка − средняя прибыль</t>
  </si>
  <si>
    <t xml:space="preserve">Прибыль заказа до комиссий</t>
  </si>
  <si>
    <t xml:space="preserve">Прибыль, % выручки</t>
  </si>
  <si>
    <t xml:space="preserve">Источник прибыли</t>
  </si>
  <si>
    <t xml:space="preserve">Сверка: прибыль по построчным затратам (выручка − сумма строк)</t>
  </si>
  <si>
    <t xml:space="preserve">Верхняя граница: в строках нет администратора и офиса, которые владелец вычел в вопросе 3</t>
  </si>
  <si>
    <t xml:space="preserve">Сверка: построчная прибыль минус прибыль владельца</t>
  </si>
  <si>
    <t xml:space="preserve">Расхождение = то, что владелец вычел сверх строк вопросов 4–5. Если это постоянные расходы, дополнительный заказ их не увеличит</t>
  </si>
  <si>
    <t xml:space="preserve">2. Вознаграждение рекомендателю (банк, брокер, нотариус)</t>
  </si>
  <si>
    <t xml:space="preserve">Вознаграждение за заказ, пришедший через рекомендателя</t>
  </si>
  <si>
    <t xml:space="preserve">[факт] планируют 10% от чека</t>
  </si>
  <si>
    <t xml:space="preserve">Прибыль такого заказа после вознаграждения</t>
  </si>
  <si>
    <t xml:space="preserve">Вознаграждение съедает, % прибыли</t>
  </si>
  <si>
    <t xml:space="preserve">Вознаграждение на средний заказ (с учётом доли рекомендателей)</t>
  </si>
  <si>
    <t xml:space="preserve">Доля рекомендателей не известна (нужно от Темура): пока 0</t>
  </si>
  <si>
    <t xml:space="preserve">Прибыль среднего заказа KMT после вознаграждения</t>
  </si>
  <si>
    <t xml:space="preserve">До комиссии проекту</t>
  </si>
  <si>
    <t xml:space="preserve">3. Комиссия сайта как агрегатора и доходы на один заказ с сайта</t>
  </si>
  <si>
    <t xml:space="preserve">Комиссия проекта с заказа KMT</t>
  </si>
  <si>
    <t xml:space="preserve">10% от суммы договора без НДС; платёж KMT → проект (внутри группы)</t>
  </si>
  <si>
    <t xml:space="preserve">Комиссия проекта с заказа партнёра</t>
  </si>
  <si>
    <t xml:space="preserve">Платит партнёр; реальный приход группы</t>
  </si>
  <si>
    <t xml:space="preserve">Прибыль KMT с заказа после комиссии проекту</t>
  </si>
  <si>
    <t xml:space="preserve">Доход проекта (Bizzone) с заказа KMT</t>
  </si>
  <si>
    <t xml:space="preserve">Комиссия + доля прибыли KMT (по умолчанию 0)</t>
  </si>
  <si>
    <t xml:space="preserve">I1 = только KMT: доход владельца на заказ сайта</t>
  </si>
  <si>
    <t xml:space="preserve">I1 = только KMT: доход проекта на заказ сайта</t>
  </si>
  <si>
    <t xml:space="preserve">I1 = агрегатор: доход владельца на заказ сайта (после подключения партнёров)</t>
  </si>
  <si>
    <t xml:space="preserve">Заказы партнёров приносят только комиссию, остальные — прибыль KMT</t>
  </si>
  <si>
    <t xml:space="preserve">I1 = агрегатор: доход проекта на заказ сайта</t>
  </si>
  <si>
    <t xml:space="preserve">Выбранный вариант: доход владельца на заказ сайта</t>
  </si>
  <si>
    <t xml:space="preserve">Без учёта ограничения мощности KMT</t>
  </si>
  <si>
    <t xml:space="preserve">Выбранный вариант: доход проекта на заказ сайта</t>
  </si>
  <si>
    <t xml:space="preserve">Только комиссия: прибыль KMT проекту не передаётся</t>
  </si>
  <si>
    <t xml:space="preserve">4. Допустимая стоимость привлечения (потолок = доля дохода)</t>
  </si>
  <si>
    <t xml:space="preserve">Допустимо на один заказ (по доходу владельца)</t>
  </si>
  <si>
    <t xml:space="preserve">[гипотеза] 20% (14, п.4.1)</t>
  </si>
  <si>
    <t xml:space="preserve">Допустимо на один заказ (только по доходу проекта)</t>
  </si>
  <si>
    <t xml:space="preserve">Если платит один проект, допустимо на порядок меньше</t>
  </si>
  <si>
    <t xml:space="preserve">Допустимо на один «интерес» (контакт, клик)</t>
  </si>
  <si>
    <t xml:space="preserve">Допустимо на один расчёт уровня 1</t>
  </si>
  <si>
    <t xml:space="preserve">Платный трафик на потребительский калькулятор окупается только при очень дешёвом клике</t>
  </si>
  <si>
    <t xml:space="preserve">То же, долларов</t>
  </si>
  <si>
    <t xml:space="preserve">Вознаграждение рекомендателю больше потолка привлечения в … раз</t>
  </si>
  <si>
    <t xml:space="preserve">Если &gt;1, вознаграждение выше потолка 20% и вводить его нельзя без пересмотра потолка</t>
  </si>
  <si>
    <t xml:space="preserve">Воронка: посетитель → расчёт → интерес → заказ, и куда идут заказы</t>
  </si>
  <si>
    <t xml:space="preserve">Конверсии из 05_4P — гипотезы (c2 заменена вводом владельца). Режим = после выхода на режим и подключения партнёров.</t>
  </si>
  <si>
    <t xml:space="preserve">Посетителей в месяц</t>
  </si>
  <si>
    <t xml:space="preserve">Нужна конверсия посетитель → расчёт (нужно от Темура / E2)</t>
  </si>
  <si>
    <t xml:space="preserve">Расчётов уровня 1 в месяц</t>
  </si>
  <si>
    <t xml:space="preserve">[заглушка] до market_sizing.xlsx</t>
  </si>
  <si>
    <t xml:space="preserve">Конверсия расчёт → интерес</t>
  </si>
  <si>
    <t xml:space="preserve">[гипотеза] 05_4P</t>
  </si>
  <si>
    <t xml:space="preserve">Интересов в месяц</t>
  </si>
  <si>
    <t xml:space="preserve">Конверсия интерес → заказ</t>
  </si>
  <si>
    <t xml:space="preserve">[гипотеза] ввод владельца 5%</t>
  </si>
  <si>
    <t xml:space="preserve">Заказов уровня 3 в месяц (всего)</t>
  </si>
  <si>
    <t xml:space="preserve">Доля инкрементальных заказов</t>
  </si>
  <si>
    <t xml:space="preserve">[гипотеза] около 90% со слов владельца</t>
  </si>
  <si>
    <t xml:space="preserve">Инкрементальных заказов в месяц</t>
  </si>
  <si>
    <t xml:space="preserve">Сквозная конверсия расчёт → инкрементальный заказ</t>
  </si>
  <si>
    <t xml:space="preserve">Расчётов на один заказ</t>
  </si>
  <si>
    <t xml:space="preserve">Влияние D10, мощность KMT и партнёры (режим)</t>
  </si>
  <si>
    <t xml:space="preserve">Множитель потока по выбранному D10</t>
  </si>
  <si>
    <t xml:space="preserve">б+ = 100%; нейтральный текст = доля m_a [заглушка]</t>
  </si>
  <si>
    <t xml:space="preserve">Заказов с сайта в месяц (режим, с учётом D10)</t>
  </si>
  <si>
    <t xml:space="preserve">Запас мощности KMT: заказов в месяц сверх нынешних</t>
  </si>
  <si>
    <t xml:space="preserve">Максимум без найма − сейчас. 1 000 000 000 = ограничения нет (мощность не задана)</t>
  </si>
  <si>
    <t xml:space="preserve">Доля заказов, уходящая партнёрам (режим)</t>
  </si>
  <si>
    <t xml:space="preserve">Только при I1 = 2, после подключения партнёров</t>
  </si>
  <si>
    <t xml:space="preserve">Заказов, направленных в KMT, в месяц</t>
  </si>
  <si>
    <t xml:space="preserve">Заказов, которые KMT возьмёт (в пределах мощности)</t>
  </si>
  <si>
    <t xml:space="preserve">Заказов теряется из-за мощности KMT</t>
  </si>
  <si>
    <t xml:space="preserve">Без найма людей эти заказы не выполнить</t>
  </si>
  <si>
    <t xml:space="preserve">Заказов уходит партнёрам в месяц</t>
  </si>
  <si>
    <t xml:space="preserve">Выручка заказов в KMT, сум/мес (без НДС)</t>
  </si>
  <si>
    <t xml:space="preserve">Доход проекта (Bizzone), сум/мес в режиме</t>
  </si>
  <si>
    <t xml:space="preserve">Комиссии с заказов KMT и партнёров</t>
  </si>
  <si>
    <t xml:space="preserve">Прибыль KMT после комиссии, сум/мес в режиме</t>
  </si>
  <si>
    <t xml:space="preserve">Доход владельца (KMT + проект), сум/мес в режиме</t>
  </si>
  <si>
    <t xml:space="preserve">Комиссия KMT → проект в сумме гасится</t>
  </si>
  <si>
    <t xml:space="preserve">Точка безубыточности и окупаемость этапа 1 (три сценария)</t>
  </si>
  <si>
    <t xml:space="preserve">Разработка и запуск (этап 1, 3 мес) считаются отдельно до запуска; после запуска — 12 месяцев работы. Два взгляда: владелец (KMT + проект) и проект (Bizzone) отдельно.</t>
  </si>
  <si>
    <t xml:space="preserve">1. Операционные расходы в месяц (после запуска)</t>
  </si>
  <si>
    <t xml:space="preserve">SMS, колл-центр, прочее</t>
  </si>
  <si>
    <t xml:space="preserve">[факт] 1 + 5 + 0,5 млн</t>
  </si>
  <si>
    <t xml:space="preserve">Маркетинг (постоянный бюджет)</t>
  </si>
  <si>
    <t xml:space="preserve">[факт] постоянного бюджета нет</t>
  </si>
  <si>
    <t xml:space="preserve">Денежные операционные расходы</t>
  </si>
  <si>
    <t xml:space="preserve">Часов в месяц на 1 час «периода»</t>
  </si>
  <si>
    <t xml:space="preserve">0, пока не заданы единицы часов</t>
  </si>
  <si>
    <t xml:space="preserve">Часов в месяц: Темур</t>
  </si>
  <si>
    <t xml:space="preserve">Часов в месяц: Равшан</t>
  </si>
  <si>
    <t xml:space="preserve">Часов в месяц: Азиз</t>
  </si>
  <si>
    <t xml:space="preserve">Стоимость месяца работы (все часы): Темур</t>
  </si>
  <si>
    <t xml:space="preserve">Чтение ставки задаётся параметром rate_mode</t>
  </si>
  <si>
    <t xml:space="preserve">Стоимость месяца работы (все часы): Равшан</t>
  </si>
  <si>
    <t xml:space="preserve">Стоимость месяца работы (все часы): Азиз</t>
  </si>
  <si>
    <t xml:space="preserve">Труд, постоянная часть: Темур</t>
  </si>
  <si>
    <t xml:space="preserve">стоимость месяца × (1 − доля разработки)</t>
  </si>
  <si>
    <t xml:space="preserve">Труд, постоянная часть: Равшан</t>
  </si>
  <si>
    <t xml:space="preserve">Труд, постоянная часть: Азиз</t>
  </si>
  <si>
    <t xml:space="preserve">Труд команды (постоянная часть), сум/мес</t>
  </si>
  <si>
    <t xml:space="preserve">Условная стоимость времени, не денежный расход</t>
  </si>
  <si>
    <t xml:space="preserve">Полные операционные расходы, сум/мес</t>
  </si>
  <si>
    <t xml:space="preserve">2. Разработка и запуск (разово, до запуска, отдельно от операционных)</t>
  </si>
  <si>
    <t xml:space="preserve">Разработка и запуск: Темур</t>
  </si>
  <si>
    <t xml:space="preserve">стоимость месяца × доля разработки × месяцев этапа</t>
  </si>
  <si>
    <t xml:space="preserve">Разработка и запуск: Равшан</t>
  </si>
  <si>
    <t xml:space="preserve">Разработка и запуск: Азиз</t>
  </si>
  <si>
    <t xml:space="preserve">Разработка: труд команды</t>
  </si>
  <si>
    <t xml:space="preserve">Разовые внешние расходы (включая пробную рекламу)</t>
  </si>
  <si>
    <t xml:space="preserve">[факт] 0,5 + 3 + 1 млн</t>
  </si>
  <si>
    <t xml:space="preserve">Разработка и запуск, итого</t>
  </si>
  <si>
    <t xml:space="preserve">Из них денежные расходы (без условной стоимости труда)</t>
  </si>
  <si>
    <t xml:space="preserve">3. Точка безубыточности в режиме (на выбранном варианте I1; без учёта мощности KMT)</t>
  </si>
  <si>
    <t xml:space="preserve">Доход владельца на заказ с сайта</t>
  </si>
  <si>
    <t xml:space="preserve">Доход проекта на заказ с сайта</t>
  </si>
  <si>
    <t xml:space="preserve">Только комиссия</t>
  </si>
  <si>
    <t xml:space="preserve">Сквозная конверсия расчёт → заказ (с учётом D10)</t>
  </si>
  <si>
    <t xml:space="preserve">БУ владельца, денежная: заказов с сайта в месяц</t>
  </si>
  <si>
    <t xml:space="preserve">БУ владельца, полная: заказов с сайта в месяц</t>
  </si>
  <si>
    <t xml:space="preserve">БУ владельца, денежная: расчётов уровня 1 в месяц</t>
  </si>
  <si>
    <t xml:space="preserve">БУ владельца, полная: расчётов уровня 1 в месяц</t>
  </si>
  <si>
    <t xml:space="preserve">БУ проекта, полная: заказов с сайта в месяц</t>
  </si>
  <si>
    <t xml:space="preserve">БУ проекта, полная: расчётов уровня 1 в месяц</t>
  </si>
  <si>
    <t xml:space="preserve">Хватит ли мощности KMT на заказы при полной БУ владельца</t>
  </si>
  <si>
    <t xml:space="preserve">Нужно заказов в KMT при БУ против запаса мощности (вопрос 17)</t>
  </si>
  <si>
    <t xml:space="preserve">Объём сценария / БУ владельца полная (расчёты), раз</t>
  </si>
  <si>
    <t xml:space="preserve">Меньше 1 — сценарий не покрывает расходы</t>
  </si>
  <si>
    <t xml:space="preserve">Результат владельца в режиме до труда (доход − денежные), сум/мес</t>
  </si>
  <si>
    <t xml:space="preserve">Результат владельца в режиме с трудом, сум/мес</t>
  </si>
  <si>
    <t xml:space="preserve">С учётом мощности KMT и партнёров</t>
  </si>
  <si>
    <t xml:space="preserve">Результат проекта (Bizzone) в режиме с трудом, сум/мес</t>
  </si>
  <si>
    <t xml:space="preserve">Проект несёт все расходы, получает только комиссию</t>
  </si>
  <si>
    <t xml:space="preserve">Простая окупаемость разработки владельцем, мес</t>
  </si>
  <si>
    <t xml:space="preserve">Разработка ÷ месячный результат в режиме</t>
  </si>
  <si>
    <t xml:space="preserve">Простая окупаемость разработки проектом, мес</t>
  </si>
  <si>
    <t xml:space="preserve">Приемлемый срок окупаемости владельца (параметр), мес</t>
  </si>
  <si>
    <t xml:space="preserve">[факт] 3 месяца</t>
  </si>
  <si>
    <t xml:space="preserve">Окупается ли в приемлемый срок (владелец, простая окупаемость)</t>
  </si>
  <si>
    <t xml:space="preserve">Сравнение с порогом владельца</t>
  </si>
  <si>
    <t xml:space="preserve">4. Итоги 12 месяцев после запуска (с выходом на режим и подключением партнёров)</t>
  </si>
  <si>
    <t xml:space="preserve">Заказов с сайта за 12 мес</t>
  </si>
  <si>
    <t xml:space="preserve">из них берёт KMT</t>
  </si>
  <si>
    <t xml:space="preserve">из них уходит партнёрам</t>
  </si>
  <si>
    <t xml:space="preserve">теряется из-за мощности KMT</t>
  </si>
  <si>
    <t xml:space="preserve">Доход проекта за 12 мес (комиссии)</t>
  </si>
  <si>
    <t xml:space="preserve">Доход владельца за 12 мес (KMT + проект)</t>
  </si>
  <si>
    <t xml:space="preserve">Операционные расходы за 12 мес (полные)</t>
  </si>
  <si>
    <t xml:space="preserve">Операционный результат владельца за 12 мес</t>
  </si>
  <si>
    <t xml:space="preserve">Операционный результат проекта за 12 мес</t>
  </si>
  <si>
    <t xml:space="preserve">Итог владельца за 12 мес с разработкой</t>
  </si>
  <si>
    <t xml:space="preserve">Итог проекта за 12 мес с разработкой</t>
  </si>
  <si>
    <t xml:space="preserve">Месяц окупаемости операций (владелец)</t>
  </si>
  <si>
    <t xml:space="preserve">Месяц окупаемости с разработкой (владелец)</t>
  </si>
  <si>
    <t xml:space="preserve">Месяц окупаемости с разработкой (проект)</t>
  </si>
  <si>
    <t xml:space="preserve">Уложился ли владелец в приемлемый срок окупаемости</t>
  </si>
  <si>
    <t xml:space="preserve">Окупаемость — по накопленному результату. Если результат в режиме отрицателен, окупаемости нет при любом сроке. Заказы сверх запаса мощности KMT считаются потерянными (найм не моделируется).</t>
  </si>
  <si>
    <t xml:space="preserve">Помесячно: Пессимист</t>
  </si>
  <si>
    <t xml:space="preserve">Месяц (0 = разработка)</t>
  </si>
  <si>
    <t xml:space="preserve">Итого</t>
  </si>
  <si>
    <t xml:space="preserve">Коэффициент выхода на режим</t>
  </si>
  <si>
    <t xml:space="preserve">Расчётов уровня 1</t>
  </si>
  <si>
    <t xml:space="preserve">Заказов с сайта</t>
  </si>
  <si>
    <t xml:space="preserve">Доля заказов партнёрам</t>
  </si>
  <si>
    <t xml:space="preserve">Заказов берёт KMT (в пределах мощности)</t>
  </si>
  <si>
    <t xml:space="preserve">Заказов теряется из-за мощности</t>
  </si>
  <si>
    <t xml:space="preserve">Заказов у партнёров</t>
  </si>
  <si>
    <t xml:space="preserve">Выручка заказов в KMT (без НДС)</t>
  </si>
  <si>
    <t xml:space="preserve">Доход проекта (комиссии)</t>
  </si>
  <si>
    <t xml:space="preserve">Прибыль KMT после комиссии</t>
  </si>
  <si>
    <t xml:space="preserve">Доход владельца (KMT + проект)</t>
  </si>
  <si>
    <t xml:space="preserve">Операционные расходы (полные)</t>
  </si>
  <si>
    <t xml:space="preserve">Операционный результат владельца</t>
  </si>
  <si>
    <t xml:space="preserve">Операционный результат проекта</t>
  </si>
  <si>
    <t xml:space="preserve">Накопленный операционный: владелец</t>
  </si>
  <si>
    <t xml:space="preserve">Накопленный операционный: проект</t>
  </si>
  <si>
    <t xml:space="preserve">Разработка и запуск (разово)</t>
  </si>
  <si>
    <t xml:space="preserve">Накопленный итог с разработкой: владелец</t>
  </si>
  <si>
    <t xml:space="preserve">Накопленный итог с разработкой: проект</t>
  </si>
  <si>
    <t xml:space="preserve">Флаг: операции окупились (владелец), месяц</t>
  </si>
  <si>
    <t xml:space="preserve">Флаг: окупилось с разработкой (владелец), месяц</t>
  </si>
  <si>
    <t xml:space="preserve">Флаг: окупилось с разработкой (проект), месяц</t>
  </si>
  <si>
    <t xml:space="preserve">Помесячно: База</t>
  </si>
  <si>
    <t xml:space="preserve">Помесячно: Оптимист</t>
  </si>
  <si>
    <t xml:space="preserve">Влияние решений D10 и I1: по два варианта, четыре сочетания</t>
  </si>
  <si>
    <t xml:space="preserve">Режим (после выхода на режим и подключения партнёров, с ограничением мощности KMT). I1: A = только KMT, B = агрегатор (партнёры берут долю заказов). D10: б+ = блок KMT с контактами, а = нейтральный текст.</t>
  </si>
  <si>
    <t xml:space="preserve">Сценарий: Пессимист</t>
  </si>
  <si>
    <t xml:space="preserve">I1=A · D10=б+</t>
  </si>
  <si>
    <t xml:space="preserve">I1=A · D10=а</t>
  </si>
  <si>
    <t xml:space="preserve">I1=B · D10=б+</t>
  </si>
  <si>
    <t xml:space="preserve">I1=B · D10=а</t>
  </si>
  <si>
    <t xml:space="preserve">Множитель потока D10</t>
  </si>
  <si>
    <t xml:space="preserve">Заказов с сайта в месяц</t>
  </si>
  <si>
    <t xml:space="preserve">Доля партнёров</t>
  </si>
  <si>
    <t xml:space="preserve">Доход владельца на заказ сайта (без мощности)</t>
  </si>
  <si>
    <t xml:space="preserve">Доход владельца в месяц</t>
  </si>
  <si>
    <t xml:space="preserve">Доход проекта в месяц (комиссии)</t>
  </si>
  <si>
    <t xml:space="preserve">Полные операционные расходы в месяц</t>
  </si>
  <si>
    <t xml:space="preserve">Результат владельца в месяц</t>
  </si>
  <si>
    <t xml:space="preserve">Результат проекта в месяц</t>
  </si>
  <si>
    <t xml:space="preserve">Разница результата владельца с (A, б+)</t>
  </si>
  <si>
    <t xml:space="preserve">БУ владельца: заказов с сайта в месяц</t>
  </si>
  <si>
    <t xml:space="preserve">БУ владельца: расчётов уровня 1 в месяц</t>
  </si>
  <si>
    <t xml:space="preserve">Сценарий: База</t>
  </si>
  <si>
    <t xml:space="preserve">Сценарий: Оптимист</t>
  </si>
  <si>
    <t xml:space="preserve">Цена решений (доход владельца, сум в месяц)</t>
  </si>
  <si>
    <t xml:space="preserve">Как читать</t>
  </si>
  <si>
    <t xml:space="preserve">Цена нейтрального текста при I1=A (б+ минус а)</t>
  </si>
  <si>
    <t xml:space="preserve">Сколько дохода в месяц теряется от отказа от блока KMT. Выгода нейтральности не измерена</t>
  </si>
  <si>
    <t xml:space="preserve">Цена агрегатора при D10=б+ (A минус B; плюс — агрегатор невыгоден)</t>
  </si>
  <si>
    <t xml:space="preserve">Сколько дохода в месяц уходит партнёрам за вычетом комиссии 10%; плюс — гибрид теряет, минус — выигрывает</t>
  </si>
  <si>
    <t xml:space="preserve">Не смоделировано: форма заказа (D10-в, после A4–A8), список оценщиков (D10-г), публичный пул с произвольной комиссией (I1-B прежней нумерации), белая марка (I1-D).</t>
  </si>
  <si>
    <t xml:space="preserve">Сочетание «I1 = B» с «D10 = б+» внутренне противоречиво: блок только с контактами KMT не передаёт заказы партнёрам. Это решение за владельцем; здесь показаны оба.</t>
  </si>
  <si>
    <t xml:space="preserve">Заглушка m_a: заменить данными (клики по блоку KMT на первых 100 результатах). Выгода нейтральности (доверие Общества и партнёров) в деньгах не оценена.</t>
  </si>
  <si>
    <t xml:space="preserve">Чувствительность</t>
  </si>
  <si>
    <t xml:space="preserve">Оси сеток (синий шрифт) — перебор для чувствительности, не оценки. Все ячейки результатов — формулы; расчёт идёт от столбца «База».</t>
  </si>
  <si>
    <t xml:space="preserve">1. Заказов с сайта в месяц (База): конверсия расчёт→интерес × интерес→заказ</t>
  </si>
  <si>
    <t xml:space="preserve">строки: расчёт→интерес  |  столбцы: интерес→заказ</t>
  </si>
  <si>
    <t xml:space="preserve">Объём расчётов — заглушка. Колонка 5% — ввод владельца; 2% и 3,5% — мои исходные гипотезы из 05_4P</t>
  </si>
  <si>
    <t xml:space="preserve">2. Результат владельца в месяц (База, полные расходы), сум: c1 × c2</t>
  </si>
  <si>
    <t xml:space="preserve">С учётом мощности KMT и выбранного I1</t>
  </si>
  <si>
    <t xml:space="preserve">3. БУ: заказов в месяц</t>
  </si>
  <si>
    <t xml:space="preserve">строки: доход на заказ с сайта, сум  |  столбцы: операционные расходы в месяц, сум</t>
  </si>
  <si>
    <t xml:space="preserve">2,5 млн — хостинг, SMS и другое без колл-центра; 3,75 млн — плюс постоянная часть труда; 7,5 млн — с колл-центром 5 млн (без труда); 8,75 млн — с колл-центром и трудом (База)</t>
  </si>
  <si>
    <t xml:space="preserve">4. БУ: расчётов уровня 1 в месяц при сквозной конверсии База</t>
  </si>
  <si>
    <t xml:space="preserve">Сравнить с заглушкой 100 / 300 / 900 расчётов: нужен реальный размер рынка</t>
  </si>
  <si>
    <t xml:space="preserve">5. Допустимая стоимость привлечения на один расчёт, сум (потолок из «Входные данные»)</t>
  </si>
  <si>
    <t xml:space="preserve">строки: доход на заказ с сайта, сум  |  столбцы: сквозная конверсия расчёт→заказ</t>
  </si>
  <si>
    <t xml:space="preserve">Сравнить с ценой клика (не проверена, нужно от Темура)</t>
  </si>
  <si>
    <t xml:space="preserve">6. Постоянный труд, сум в месяц, при одной ставке за час для всех (База, часы владельца)</t>
  </si>
  <si>
    <t xml:space="preserve">строки: единицы часов: 1 неделя, 2 месяц, 3 весь этап  |  столбцы: ставка, сум/час</t>
  </si>
  <si>
    <t xml:space="preserve">Сетка показывает разброс по единицам часов; основной расчёт идёт по ставкам владельца (в месяц)</t>
  </si>
  <si>
    <t xml:space="preserve">7. Разработка и запуск (труд, разово), сум, при одной ставке за час для всех (База)</t>
  </si>
  <si>
    <t xml:space="preserve">8. Цена отчёта ±10% и ±20% (База, выбранный I1; прямые затраты в сумах без изменений)</t>
  </si>
  <si>
    <t xml:space="preserve">Изменение цены</t>
  </si>
  <si>
    <t xml:space="preserve">Цена, сум</t>
  </si>
  <si>
    <t xml:space="preserve">Прибыль KMT на заказ после вознаграждения</t>
  </si>
  <si>
    <t xml:space="preserve">Множитель заказов</t>
  </si>
  <si>
    <t xml:space="preserve">Допустимо на заказ (потолок)</t>
  </si>
  <si>
    <t xml:space="preserve">Реакция спроса: при +10% цены заказов на 17,5% меньше (середина «15–20%», вопрос 19). Цена не меняет прямые затраты: при снижении цены прибыль падает на всю разницу.</t>
  </si>
  <si>
    <t xml:space="preserve">9. Агрегатор: доход владельца на заказ с сайта (База) от доли партнёров и комиссии</t>
  </si>
  <si>
    <t xml:space="preserve">строки: доля заказов партнёров  |  столбцы: комиссия проекту, % от договора</t>
  </si>
  <si>
    <t xml:space="preserve">Каждый процент заказов, ушедший партнёру при комиссии 10%, снижает доход владельца: заказ KMT приносит 400 тыс., заказ партнёра — 100 тыс.</t>
  </si>
  <si>
    <t xml:space="preserve">10. D10: заказы и доход владельца в месяц (База) от доли заказов, сохраняющихся при нейтральном тексте</t>
  </si>
  <si>
    <t xml:space="preserve">строки: доля сохранившихся заказов  |  столбцы: показатель</t>
  </si>
  <si>
    <t xml:space="preserve">Заказов в месяц</t>
  </si>
  <si>
    <t xml:space="preserve">Доход владельца в месяц, сум</t>
  </si>
  <si>
    <t xml:space="preserve">Потеря к б+, сум</t>
  </si>
  <si>
    <t xml:space="preserve">11. Расчётов уровня 1 в месяц, нужных для полной БУ владельца (База): c1 × c2</t>
  </si>
  <si>
    <t xml:space="preserve">Без учёта мощности KMT: при БУ нужно слишком много заказов для нынешнего запаса 10 в месяц</t>
  </si>
  <si>
    <t xml:space="preserve">12. Как читать ставку труда (База): три трактовки</t>
  </si>
  <si>
    <t xml:space="preserve">Трактовка</t>
  </si>
  <si>
    <t xml:space="preserve">Труд за все часы, сум/мес</t>
  </si>
  <si>
    <t xml:space="preserve">Постоянная часть, сум/мес</t>
  </si>
  <si>
    <t xml:space="preserve">Разработка разово, сум</t>
  </si>
  <si>
    <t xml:space="preserve">2 — месячная ставка полной занятости, оплачиваются фактические часы</t>
  </si>
  <si>
    <t xml:space="preserve">3 — месячная ставка как есть, независимо от часов</t>
  </si>
  <si>
    <t xml:space="preserve">Выбор между 2 и 3 — вопрос к владельцу (см. «Вопросы к Темуру»). Основной расчёт идёт по значению rate_mode.</t>
  </si>
  <si>
    <t xml:space="preserve">13. Прибыль заказа при разной цене (затраты на заказ неизменны, База)</t>
  </si>
  <si>
    <t xml:space="preserve">Цена заказа, сум</t>
  </si>
  <si>
    <t xml:space="preserve">Прямые затраты</t>
  </si>
  <si>
    <t xml:space="preserve">Прибыль</t>
  </si>
  <si>
    <t xml:space="preserve">Если затраты на заказ за 800 тыс. такие же, как за 1 млн, прибыль с него заметно ниже средней. Владелец называл минимум 300 тыс.: значит, на дешёвых заказах затраты, видимо, меньше. Проверить по учёту.</t>
  </si>
  <si>
    <t xml:space="preserve">Проверка модели</t>
  </si>
  <si>
    <t xml:space="preserve">Статусы: OK, ОШИБКА (нужно исправить формулу), НЕТ ДАННЫХ (формулы верны, нужен ввод владельца), ВНИМАНИЕ (результат верен, но допущение вызывает сомнения).</t>
  </si>
  <si>
    <t xml:space="preserve">Общий статус:</t>
  </si>
  <si>
    <t xml:space="preserve">Проверка</t>
  </si>
  <si>
    <t xml:space="preserve">Значение</t>
  </si>
  <si>
    <t xml:space="preserve">C01</t>
  </si>
  <si>
    <t xml:space="preserve">Ошибки формул: Входные данные</t>
  </si>
  <si>
    <t xml:space="preserve">C02</t>
  </si>
  <si>
    <t xml:space="preserve">Ошибки формул: Юнит-экономика</t>
  </si>
  <si>
    <t xml:space="preserve">C03</t>
  </si>
  <si>
    <t xml:space="preserve">Ошибки формул: Воронка</t>
  </si>
  <si>
    <t xml:space="preserve">C04</t>
  </si>
  <si>
    <t xml:space="preserve">Ошибки формул: Сценарии_BEP</t>
  </si>
  <si>
    <t xml:space="preserve">C05</t>
  </si>
  <si>
    <t xml:space="preserve">Ошибки формул: D10_I1</t>
  </si>
  <si>
    <t xml:space="preserve">C06</t>
  </si>
  <si>
    <t xml:space="preserve">Ошибки формул: Чувствительность</t>
  </si>
  <si>
    <t xml:space="preserve">C07</t>
  </si>
  <si>
    <t xml:space="preserve">Тождество юнит-экономики: выручка − прямые затраты − вознаграждение − прибыль = 0 (по 3 сценариям)</t>
  </si>
  <si>
    <t xml:space="preserve">C08</t>
  </si>
  <si>
    <t xml:space="preserve">Метод 3: прибыль заказа равна вводу владельца</t>
  </si>
  <si>
    <t xml:space="preserve">Проверяется, когда выручка &gt; 0</t>
  </si>
  <si>
    <t xml:space="preserve">C09</t>
  </si>
  <si>
    <t xml:space="preserve">Доли цены в сумме дают 100% (800 тыс. + 1 млн + дороже)</t>
  </si>
  <si>
    <t xml:space="preserve">C10</t>
  </si>
  <si>
    <t xml:space="preserve">Воронка: заказы = расчёты × c1 × c2 × инкрементальность</t>
  </si>
  <si>
    <t xml:space="preserve">C11</t>
  </si>
  <si>
    <t xml:space="preserve">Заказы сохраняются: направлено в KMT + у партнёров = заказов с сайта (режим)</t>
  </si>
  <si>
    <t xml:space="preserve">C12</t>
  </si>
  <si>
    <t xml:space="preserve">Доход владельца = доход проекта + прибыль KMT после комиссии = K × прибыль + P × комиссия партнёра (режим)</t>
  </si>
  <si>
    <t xml:space="preserve">Комиссия KMT → проект гасится</t>
  </si>
  <si>
    <t xml:space="preserve">C13</t>
  </si>
  <si>
    <t xml:space="preserve">Помесячная модель: итог за 12 мес = −разработка + сумма операций (владелец и проект, по 3 сценариям)</t>
  </si>
  <si>
    <t xml:space="preserve">C14</t>
  </si>
  <si>
    <t xml:space="preserve">Помесячная модель выходит на режим: заказы в 12-м месяце = режим Воронки</t>
  </si>
  <si>
    <t xml:space="preserve">Пропускается, если выход на режим дольше 12 мес или партнёры подключаются позже 12-го месяца</t>
  </si>
  <si>
    <t xml:space="preserve">C15</t>
  </si>
  <si>
    <t xml:space="preserve">D10_I1: выбранное сочетание совпадает с основным расчётом (результат владельца в режиме)</t>
  </si>
  <si>
    <t xml:space="preserve">C16</t>
  </si>
  <si>
    <t xml:space="preserve">Доли и конверсии лежат в диапазоне 0–100%</t>
  </si>
  <si>
    <t xml:space="preserve">C17</t>
  </si>
  <si>
    <t xml:space="preserve">Переключатели допустимы (метод 1–3, I1 1–2, D10 1–2, часы 1–3, ставка 1–3, НДС 0/1, комиссия KMT 0/1)</t>
  </si>
  <si>
    <t xml:space="preserve">C18</t>
  </si>
  <si>
    <t xml:space="preserve">Метод 2 выбран, но построчные затраты пусты (прибыль вышла бы 100%)</t>
  </si>
  <si>
    <t xml:space="preserve">C19</t>
  </si>
  <si>
    <t xml:space="preserve">Пустых входов «нужно от Темура» (из 3)</t>
  </si>
  <si>
    <t xml:space="preserve">Список вопросов — лист «Вопросы к Темуру»</t>
  </si>
  <si>
    <t xml:space="preserve">C20</t>
  </si>
  <si>
    <t xml:space="preserve">Единицы часов не заданы: труд команды не оценён</t>
  </si>
  <si>
    <t xml:space="preserve">C21</t>
  </si>
  <si>
    <t xml:space="preserve">Единицы часов заданы, а длительность этапа нет: разработка и труд занижены</t>
  </si>
  <si>
    <t xml:space="preserve">C22</t>
  </si>
  <si>
    <t xml:space="preserve">Ставки не заданы: труд команды = 0</t>
  </si>
  <si>
    <t xml:space="preserve">C23</t>
  </si>
  <si>
    <t xml:space="preserve">Затраты на разработку не заданы: окупаемость разработки не считается</t>
  </si>
  <si>
    <t xml:space="preserve">C24</t>
  </si>
  <si>
    <t xml:space="preserve">ВНИМАНИЕ: объём расчётов — заглушка (market_sizing.xlsx не подключён)</t>
  </si>
  <si>
    <t xml:space="preserve">Все итоги по объёму — иллюстрация, не прогноз</t>
  </si>
  <si>
    <t xml:space="preserve">C25</t>
  </si>
  <si>
    <t xml:space="preserve">ВНИМАНИЕ: конверсия интерес → заказ одинакова во всех трёх сценариях</t>
  </si>
  <si>
    <t xml:space="preserve">Разброс сценариев занижен; см. Q5 и таблицы чувствительности</t>
  </si>
  <si>
    <t xml:space="preserve">C26</t>
  </si>
  <si>
    <t xml:space="preserve">ВНИМАНИЕ: прибыль заказа по строкам (вопросы 4–5) расходится с прибылью владельца (вопрос 3)</t>
  </si>
  <si>
    <t xml:space="preserve">Расхождение 300 тыс. сум; см. Q1</t>
  </si>
  <si>
    <t xml:space="preserve">C27</t>
  </si>
  <si>
    <t xml:space="preserve">ВНИМАНИЕ: заказы с сайта упираются в мощность KMT (в одном из сценариев в режиме)</t>
  </si>
  <si>
    <t xml:space="preserve">Часть заказов теряется без найма</t>
  </si>
  <si>
    <t xml:space="preserve">C28</t>
  </si>
  <si>
    <t xml:space="preserve">ВНИМАНИЕ: I1 = агрегатор при D10 = блок KMT (противоречие)</t>
  </si>
  <si>
    <t xml:space="preserve">Блок только с контактами KMT не передаёт заказы партнёрам; решение за владельцем</t>
  </si>
  <si>
    <t xml:space="preserve">C29</t>
  </si>
  <si>
    <t xml:space="preserve">ВНИМАНИЕ: труд Темура и Равшана на 100% — разработка (после запуска не считается)</t>
  </si>
  <si>
    <t xml:space="preserve">См. Q3</t>
  </si>
  <si>
    <t xml:space="preserve">Баланс допущений (по статусам строк во «Входные данные»)</t>
  </si>
  <si>
    <t xml:space="preserve">[факт] (включая [факт][проверить])</t>
  </si>
  <si>
    <t xml:space="preserve">[гипотеза] (включая [проверить])</t>
  </si>
  <si>
    <t xml:space="preserve">Всего параметров</t>
  </si>
  <si>
    <t xml:space="preserve">Сумма по статусам должна равняться числу параметров</t>
  </si>
  <si>
    <t xml:space="preserve">Драйверы дохода (объём, c1, c2, инкрементальность, прибыль заказа): из них [факт]</t>
  </si>
  <si>
    <t xml:space="preserve">из 5: основной вывод модели держится на гипотезах и заглушке объёма</t>
  </si>
  <si>
    <t xml:space="preserve">Граничные случаи (прогон скриптом при создании файла; каждый — отдельная копия книги с пересчётом)</t>
  </si>
  <si>
    <t xml:space="preserve">Случай</t>
  </si>
  <si>
    <t xml:space="preserve">Ошибок формул</t>
  </si>
  <si>
    <t xml:space="preserve">Результат</t>
  </si>
  <si>
    <t xml:space="preserve">Что показали</t>
  </si>
  <si>
    <t xml:space="preserve">T01</t>
  </si>
  <si>
    <t xml:space="preserve">Ответы владельца 18.10.2026 как есть</t>
  </si>
  <si>
    <t xml:space="preserve">OK</t>
  </si>
  <si>
    <t xml:space="preserve">Результат владельца в режиме, млн сум/мес (пессимист / база / оптимист): -8.64 / -8.24 / -5.92. Ошибок формул нет, проверки не нарушены.</t>
  </si>
  <si>
    <t xml:space="preserve">T02</t>
  </si>
  <si>
    <t xml:space="preserve">Прибыль заказа = 0 во всех сценариях</t>
  </si>
  <si>
    <t xml:space="preserve">Результат владельца в режиме, млн сум/мес (пессимист / база / оптимист): -8.70 / -8.56 / -8.04. Ошибок формул нет, проверки не нарушены.</t>
  </si>
  <si>
    <t xml:space="preserve">T03</t>
  </si>
  <si>
    <t xml:space="preserve">Конверсия расчёт → интерес = 0</t>
  </si>
  <si>
    <t xml:space="preserve">Результат владельца в режиме, млн сум/мес (пессимист / база / оптимист): -8.75 / -8.75 / -8.75. Ошибок формул нет, проверки не нарушены.</t>
  </si>
  <si>
    <t xml:space="preserve">T04</t>
  </si>
  <si>
    <t xml:space="preserve">Расчётов уровня 1 в месяц = 0</t>
  </si>
  <si>
    <t xml:space="preserve">T05</t>
  </si>
  <si>
    <t xml:space="preserve">Потолок привлечения = 0</t>
  </si>
  <si>
    <t xml:space="preserve">T06</t>
  </si>
  <si>
    <t xml:space="preserve">Доли цены обнулены (цена = 0)</t>
  </si>
  <si>
    <t xml:space="preserve">Результат владельца в режиме, млн сум/мес (пессимист / база / оптимист): -8.64 / -8.24 / -5.92. Проверка C09 сработала, как и должна.</t>
  </si>
  <si>
    <t xml:space="preserve">T07</t>
  </si>
  <si>
    <t xml:space="preserve">Метод прибыли 2 (построчно)</t>
  </si>
  <si>
    <t xml:space="preserve">Результат владельца в режиме, млн сум/мес (пессимист / база / оптимист): -8.56 / -7.98 / -5.85. Ошибок формул нет, проверки не нарушены.</t>
  </si>
  <si>
    <t xml:space="preserve">T08</t>
  </si>
  <si>
    <t xml:space="preserve">Метод прибыли 1 (процент)</t>
  </si>
  <si>
    <t xml:space="preserve">Результат владельца в режиме, млн сум/мес (пессимист / база / оптимист): -8.64 / -8.15 / -6.49. Ошибок формул нет, проверки не нарушены.</t>
  </si>
  <si>
    <t xml:space="preserve">T09</t>
  </si>
  <si>
    <t xml:space="preserve">НДС включён, ставка 12% (тестовое значение, не факт)</t>
  </si>
  <si>
    <t xml:space="preserve">T10</t>
  </si>
  <si>
    <t xml:space="preserve">Длительность этапа = 0</t>
  </si>
  <si>
    <t xml:space="preserve">T11</t>
  </si>
  <si>
    <t xml:space="preserve">Единицы часов не заданы</t>
  </si>
  <si>
    <t xml:space="preserve">Результат владельца в режиме, млн сум/мес (пессимист / база / оптимист): -7.39 / -6.99 / -4.67. Ошибок формул нет, проверки не нарушены.</t>
  </si>
  <si>
    <t xml:space="preserve">T12</t>
  </si>
  <si>
    <t xml:space="preserve">Ставка — сум за час (100 000)</t>
  </si>
  <si>
    <t xml:space="preserve">Результат владельца в режиме, млн сум/мес (пессимист / база / оптимист): -11.73 / -11.32 / -9.00. Ошибок формул нет, проверки не нарушены.</t>
  </si>
  <si>
    <t xml:space="preserve">T13</t>
  </si>
  <si>
    <t xml:space="preserve">Ставка — месячная как есть (трактовка 3)</t>
  </si>
  <si>
    <t xml:space="preserve">Результат владельца в режиме, млн сум/мес (пессимист / база / оптимист): -8.39 / -7.99 / -5.67. Ошибок формул нет, проверки не нарушены.</t>
  </si>
  <si>
    <t xml:space="preserve">T14</t>
  </si>
  <si>
    <t xml:space="preserve">Часы на весь этап (единицы 3)</t>
  </si>
  <si>
    <t xml:space="preserve">Результат владельца в режиме, млн сум/мес (пессимист / база / оптимист): -7.49 / -7.08 / -4.76. Ошибок формул нет, проверки не нарушены.</t>
  </si>
  <si>
    <t xml:space="preserve">T15</t>
  </si>
  <si>
    <t xml:space="preserve">I1 = только KMT</t>
  </si>
  <si>
    <t xml:space="preserve">Результат владельца в режиме, млн сум/мес (пессимист / база / оптимист): -8.55 / -7.67 / -1.75. Ошибок формул нет, проверки не нарушены.</t>
  </si>
  <si>
    <t xml:space="preserve">T16</t>
  </si>
  <si>
    <t xml:space="preserve">D10 = нейтральный текст</t>
  </si>
  <si>
    <t xml:space="preserve">Результат владельца в режиме, млн сум/мес (пессимист / база / оптимист): -8.72 / -8.62 / -8.04. Ошибок формул нет, проверки не нарушены.</t>
  </si>
  <si>
    <t xml:space="preserve">T17</t>
  </si>
  <si>
    <t xml:space="preserve">Выход на режим: 0 мес</t>
  </si>
  <si>
    <t xml:space="preserve">T18</t>
  </si>
  <si>
    <t xml:space="preserve">Выход на режим: 24 мес (дольше горизонта)</t>
  </si>
  <si>
    <t xml:space="preserve">T19</t>
  </si>
  <si>
    <t xml:space="preserve">Все заказы через рекомендателя, вознаграждение 60% (прибыль после &lt; 0)</t>
  </si>
  <si>
    <t xml:space="preserve">Результат владельца в режиме, млн сум/мес (пессимист / база / оптимист): -8.77 / -8.73 / -7.77. Ошибок формул нет, проверки не нарушены.</t>
  </si>
  <si>
    <t xml:space="preserve">T20</t>
  </si>
  <si>
    <t xml:space="preserve">Реакция спроса на цену −0,5</t>
  </si>
  <si>
    <t xml:space="preserve">T21</t>
  </si>
  <si>
    <t xml:space="preserve">Нарушение границ: конверсия расчёт → интерес = 150%</t>
  </si>
  <si>
    <t xml:space="preserve">Результат владельца в режиме, млн сум/мес (пессимист / база / оптимист): -7.67 / -4.90 / 2.50. Проверка C16 сработала, как и должна.</t>
  </si>
  <si>
    <t xml:space="preserve">T22</t>
  </si>
  <si>
    <t xml:space="preserve">Мощность KMT не задана (ограничения нет)</t>
  </si>
  <si>
    <t xml:space="preserve">T23</t>
  </si>
  <si>
    <t xml:space="preserve">Мощность KMT исчерпана (максимум = текущему)</t>
  </si>
  <si>
    <t xml:space="preserve">T24</t>
  </si>
  <si>
    <t xml:space="preserve">Партнёры с 1-го месяца</t>
  </si>
  <si>
    <t xml:space="preserve">T25</t>
  </si>
  <si>
    <t xml:space="preserve">Партнёры берут 100% заказов</t>
  </si>
  <si>
    <t xml:space="preserve">Результат владельца в режиме, млн сум/мес (пессимист / база / оптимист): -8.68 / -8.48 / -7.74. Ошибок формул нет, проверки не нарушены.</t>
  </si>
  <si>
    <t xml:space="preserve">T26</t>
  </si>
  <si>
    <t xml:space="preserve">Комиссия сайта = 0</t>
  </si>
  <si>
    <t xml:space="preserve">Результат владельца в режиме, млн сум/мес (пессимист / база / оптимист): -8.69 / -8.43 / -6.62. Ошибок формул нет, проверки не нарушены.</t>
  </si>
  <si>
    <t xml:space="preserve">T27</t>
  </si>
  <si>
    <t xml:space="preserve">Нет комиссии с заказов KMT, проект без доли прибыли</t>
  </si>
  <si>
    <t xml:space="preserve">T28</t>
  </si>
  <si>
    <t xml:space="preserve">Проект получает всю прибыль KMT (доля 100%)</t>
  </si>
  <si>
    <t xml:space="preserve">T29</t>
  </si>
  <si>
    <t xml:space="preserve">Часов полной занятости = 0 (деление)</t>
  </si>
  <si>
    <t xml:space="preserve">T30</t>
  </si>
  <si>
    <t xml:space="preserve">Колл-центр отключён (прочее = 1,5 млн)</t>
  </si>
  <si>
    <t xml:space="preserve">Результат владельца в режиме, млн сум/мес (пессимист / база / оптимист): -3.64 / -3.24 / -0.92. Ошибок формул нет, проверки не нарушены.</t>
  </si>
  <si>
    <t xml:space="preserve">T31</t>
  </si>
  <si>
    <t xml:space="preserve">Нарушение границ: сумма долей цены ≠ 100%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</si>
</sst>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#,##0"/>
    <numFmt numFmtId="167" formatCode="0"/>
    <numFmt numFmtId="168" formatCode="0.0"/>
    <numFmt numFmtId="169" formatCode="0.000"/>
    <numFmt numFmtId="170" formatCode="0.00"/>
    <numFmt numFmtId="171" formatCode="0.00%"/>
    <numFmt numFmtId="172" formatCode="\+0%;\-0%;0%"/>
    <numFmt numFmtId="173" formatCode="0.######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C6E0B4"/>
        <bgColor rgb="FFD9D9D9"/>
      </patternFill>
    </fill>
    <fill>
      <patternFill patternType="solid">
        <fgColor rgb="FFFFF2CC"/>
        <bgColor rgb="FFFFFFE0"/>
      </patternFill>
    </fill>
    <fill>
      <patternFill patternType="solid">
        <fgColor rgb="FFFFD7A8"/>
        <bgColor rgb="FFFFF2CC"/>
      </patternFill>
    </fill>
    <fill>
      <patternFill patternType="solid">
        <fgColor rgb="FFF4A6A6"/>
        <bgColor rgb="FFFF8080"/>
      </patternFill>
    </fill>
    <fill>
      <patternFill patternType="solid">
        <fgColor rgb="FFDDEBF7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D9E1F2"/>
        <bgColor rgb="FFDDEBF7"/>
      </patternFill>
    </fill>
    <fill>
      <patternFill patternType="solid">
        <fgColor rgb="FFFFFF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0B4"/>
        </patternFill>
      </fill>
    </dxf>
    <dxf>
      <fill>
        <patternFill>
          <bgColor rgb="FFF4A6A6"/>
        </patternFill>
      </fill>
    </dxf>
    <dxf>
      <fill>
        <patternFill>
          <bgColor rgb="FFFFD7A8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BE4B48"/>
      <rgbColor rgb="FFFFFFE0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F2CC"/>
      <rgbColor rgb="FFD9E1F2"/>
      <rgbColor rgb="FFF4A6A6"/>
      <rgbColor rgb="FFCC99FF"/>
      <rgbColor rgb="FFFFD7A8"/>
      <rgbColor rgb="FF4A7EBB"/>
      <rgbColor rgb="FF33CCCC"/>
      <rgbColor rgb="FF98B855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Накопленный итог с разработкой, сум (владелец)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"Пессимист"</c:f>
              <c:strCache>
                <c:ptCount val="1"/>
                <c:pt idx="0">
                  <c:v>Пессимист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Сценарии_BEP!$C$73:$O$73</c:f>
              <c:multiLvlStrCache>
                <c:ptCount val="1"/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Сценарии_BEP!$C$91:$O$91</c:f>
              <c:numCache>
                <c:formatCode>#,##0</c:formatCode>
                <c:ptCount val="13"/>
                <c:pt idx="0">
                  <c:v>-79500000</c:v>
                </c:pt>
                <c:pt idx="1">
                  <c:v>-88148750</c:v>
                </c:pt>
                <c:pt idx="2">
                  <c:v>-96696250</c:v>
                </c:pt>
                <c:pt idx="3">
                  <c:v>-105243750</c:v>
                </c:pt>
                <c:pt idx="4">
                  <c:v>-113791250</c:v>
                </c:pt>
                <c:pt idx="5">
                  <c:v>-122338750</c:v>
                </c:pt>
                <c:pt idx="6">
                  <c:v>-130886250</c:v>
                </c:pt>
                <c:pt idx="7">
                  <c:v>-139433750</c:v>
                </c:pt>
                <c:pt idx="8">
                  <c:v>-147981250</c:v>
                </c:pt>
                <c:pt idx="9">
                  <c:v>-156528750</c:v>
                </c:pt>
                <c:pt idx="10">
                  <c:v>-165170750</c:v>
                </c:pt>
                <c:pt idx="11">
                  <c:v>-173812750</c:v>
                </c:pt>
                <c:pt idx="12">
                  <c:v>-182454750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"База"</c:f>
              <c:strCache>
                <c:ptCount val="1"/>
                <c:pt idx="0">
                  <c:v>База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Сценарии_BEP!$C$73:$O$73</c:f>
              <c:multiLvlStrCache>
                <c:ptCount val="1"/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Сценарии_BEP!$C$117:$O$117</c:f>
              <c:numCache>
                <c:formatCode>#,##0</c:formatCode>
                <c:ptCount val="13"/>
                <c:pt idx="0">
                  <c:v>-72000000</c:v>
                </c:pt>
                <c:pt idx="1">
                  <c:v>-80210000</c:v>
                </c:pt>
                <c:pt idx="2">
                  <c:v>-87880000</c:v>
                </c:pt>
                <c:pt idx="3">
                  <c:v>-95550000</c:v>
                </c:pt>
                <c:pt idx="4">
                  <c:v>-103220000</c:v>
                </c:pt>
                <c:pt idx="5">
                  <c:v>-110890000</c:v>
                </c:pt>
                <c:pt idx="6">
                  <c:v>-118560000</c:v>
                </c:pt>
                <c:pt idx="7">
                  <c:v>-126797000</c:v>
                </c:pt>
                <c:pt idx="8">
                  <c:v>-135034000</c:v>
                </c:pt>
                <c:pt idx="9">
                  <c:v>-143271000</c:v>
                </c:pt>
                <c:pt idx="10">
                  <c:v>-151508000</c:v>
                </c:pt>
                <c:pt idx="11">
                  <c:v>-159745000</c:v>
                </c:pt>
                <c:pt idx="12">
                  <c:v>-167982000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"Оптимист"</c:f>
              <c:strCache>
                <c:ptCount val="1"/>
                <c:pt idx="0">
                  <c:v>Оптимист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Сценарии_BEP!$C$73:$O$73</c:f>
              <c:multiLvlStrCache>
                <c:ptCount val="1"/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Сценарии_BEP!$C$143:$O$143</c:f>
              <c:numCache>
                <c:formatCode>#,##0</c:formatCode>
                <c:ptCount val="13"/>
                <c:pt idx="0">
                  <c:v>-64500000</c:v>
                </c:pt>
                <c:pt idx="1">
                  <c:v>-69706250</c:v>
                </c:pt>
                <c:pt idx="2">
                  <c:v>-71456250</c:v>
                </c:pt>
                <c:pt idx="3">
                  <c:v>-73206250</c:v>
                </c:pt>
                <c:pt idx="4">
                  <c:v>-79121250</c:v>
                </c:pt>
                <c:pt idx="5">
                  <c:v>-85036250</c:v>
                </c:pt>
                <c:pt idx="6">
                  <c:v>-90951250</c:v>
                </c:pt>
                <c:pt idx="7">
                  <c:v>-96866250</c:v>
                </c:pt>
                <c:pt idx="8">
                  <c:v>-102781250</c:v>
                </c:pt>
                <c:pt idx="9">
                  <c:v>-108696250</c:v>
                </c:pt>
                <c:pt idx="10">
                  <c:v>-114611250</c:v>
                </c:pt>
                <c:pt idx="11">
                  <c:v>-120526250</c:v>
                </c:pt>
                <c:pt idx="12">
                  <c:v>-126441250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548909"/>
        <c:axId val="61472060"/>
      </c:lineChart>
      <c:catAx>
        <c:axId val="125489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72060"/>
        <c:crosses val="autoZero"/>
        <c:auto val="1"/>
        <c:lblAlgn val="ctr"/>
        <c:lblOffset val="100"/>
        <c:noMultiLvlLbl val="0"/>
      </c:catAx>
      <c:valAx>
        <c:axId val="614720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489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13</xdr:col>
      <xdr:colOff>559080</xdr:colOff>
      <xdr:row>17</xdr:row>
      <xdr:rowOff>182880</xdr:rowOff>
    </xdr:to>
    <xdr:graphicFrame>
      <xdr:nvGraphicFramePr>
        <xdr:cNvPr id="0" name="Chart 1"/>
        <xdr:cNvGraphicFramePr/>
      </xdr:nvGraphicFramePr>
      <xdr:xfrm>
        <a:off x="1332180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7" min="5" style="0" width="13"/>
    <col collapsed="false" customWidth="true" hidden="false" outlineLevel="0" max="8" min="8" style="0" width="42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5" t="s">
        <v>4</v>
      </c>
    </row>
    <row r="7" customFormat="false" ht="15" hidden="false" customHeight="false" outlineLevel="0" collapsed="false">
      <c r="B7" s="6" t="s">
        <v>5</v>
      </c>
    </row>
    <row r="8" customFormat="false" ht="15" hidden="false" customHeight="false" outlineLevel="0" collapsed="false">
      <c r="B8" s="7" t="s">
        <v>6</v>
      </c>
    </row>
    <row r="9" customFormat="false" ht="15" hidden="false" customHeight="false" outlineLevel="0" collapsed="false">
      <c r="B9" s="8" t="s">
        <v>7</v>
      </c>
    </row>
    <row r="10" customFormat="false" ht="15" hidden="false" customHeight="false" outlineLevel="0" collapsed="false">
      <c r="B10" s="3" t="s">
        <v>8</v>
      </c>
      <c r="C10" s="3" t="str">
        <f aca="false">Проверка!C3</f>
        <v>ФОРМУЛЫ ОК, НЕ ХВАТАЕТ ДАННЫХ ВЛАДЕЛЬЦА</v>
      </c>
    </row>
    <row r="12" customFormat="false" ht="15" hidden="false" customHeight="false" outlineLevel="0" collapsed="false">
      <c r="A12" s="9" t="s">
        <v>9</v>
      </c>
      <c r="B12" s="9" t="s">
        <v>10</v>
      </c>
      <c r="C12" s="9" t="s">
        <v>11</v>
      </c>
      <c r="D12" s="9" t="s">
        <v>12</v>
      </c>
      <c r="E12" s="9" t="s">
        <v>13</v>
      </c>
      <c r="F12" s="9" t="s">
        <v>14</v>
      </c>
      <c r="G12" s="9" t="s">
        <v>15</v>
      </c>
      <c r="H12" s="9" t="s">
        <v>16</v>
      </c>
      <c r="I12" s="9" t="s">
        <v>17</v>
      </c>
    </row>
    <row r="13" customFormat="false" ht="15" hidden="false" customHeight="false" outlineLevel="0" collapsed="false">
      <c r="A13" s="10" t="s">
        <v>18</v>
      </c>
      <c r="B13" s="11"/>
      <c r="C13" s="11"/>
      <c r="D13" s="11"/>
      <c r="E13" s="11"/>
      <c r="F13" s="11"/>
      <c r="G13" s="11"/>
      <c r="H13" s="11"/>
      <c r="I13" s="11"/>
    </row>
    <row r="14" customFormat="false" ht="15" hidden="false" customHeight="false" outlineLevel="0" collapsed="false">
      <c r="A14" s="12" t="s">
        <v>19</v>
      </c>
      <c r="B14" s="12" t="s">
        <v>20</v>
      </c>
      <c r="C14" s="12" t="s">
        <v>21</v>
      </c>
      <c r="D14" s="13" t="s">
        <v>22</v>
      </c>
      <c r="E14" s="14" t="n">
        <f aca="false">IF(F14="","",F14)</f>
        <v>0.15</v>
      </c>
      <c r="F14" s="15" t="n">
        <v>0.15</v>
      </c>
      <c r="G14" s="14" t="n">
        <f aca="false">IF(F14="","",F14)</f>
        <v>0.15</v>
      </c>
      <c r="H14" s="12" t="s">
        <v>23</v>
      </c>
      <c r="I14" s="12" t="s">
        <v>24</v>
      </c>
    </row>
    <row r="15" customFormat="false" ht="15" hidden="false" customHeight="false" outlineLevel="0" collapsed="false">
      <c r="A15" s="12" t="s">
        <v>25</v>
      </c>
      <c r="B15" s="12" t="s">
        <v>26</v>
      </c>
      <c r="C15" s="12" t="s">
        <v>21</v>
      </c>
      <c r="D15" s="13" t="s">
        <v>22</v>
      </c>
      <c r="E15" s="14" t="n">
        <f aca="false">IF(F15="","",F15)</f>
        <v>0.75</v>
      </c>
      <c r="F15" s="15" t="n">
        <v>0.75</v>
      </c>
      <c r="G15" s="14" t="n">
        <f aca="false">IF(F15="","",F15)</f>
        <v>0.75</v>
      </c>
      <c r="H15" s="12" t="s">
        <v>23</v>
      </c>
      <c r="I15" s="12" t="s">
        <v>27</v>
      </c>
    </row>
    <row r="16" customFormat="false" ht="15" hidden="false" customHeight="false" outlineLevel="0" collapsed="false">
      <c r="A16" s="12" t="s">
        <v>28</v>
      </c>
      <c r="B16" s="12" t="s">
        <v>29</v>
      </c>
      <c r="C16" s="12" t="s">
        <v>21</v>
      </c>
      <c r="D16" s="13" t="s">
        <v>22</v>
      </c>
      <c r="E16" s="14" t="n">
        <f aca="false">IF(F16="","",F16)</f>
        <v>0.1</v>
      </c>
      <c r="F16" s="15" t="n">
        <v>0.1</v>
      </c>
      <c r="G16" s="14" t="n">
        <f aca="false">IF(F16="","",F16)</f>
        <v>0.1</v>
      </c>
      <c r="H16" s="12" t="s">
        <v>23</v>
      </c>
      <c r="I16" s="12" t="s">
        <v>30</v>
      </c>
    </row>
    <row r="17" customFormat="false" ht="15" hidden="false" customHeight="false" outlineLevel="0" collapsed="false">
      <c r="A17" s="12" t="s">
        <v>31</v>
      </c>
      <c r="B17" s="12" t="s">
        <v>32</v>
      </c>
      <c r="C17" s="12" t="s">
        <v>33</v>
      </c>
      <c r="D17" s="13" t="s">
        <v>34</v>
      </c>
      <c r="E17" s="16" t="n">
        <f aca="false">IF(F17="","",F17)</f>
        <v>800000</v>
      </c>
      <c r="F17" s="17" t="n">
        <v>800000</v>
      </c>
      <c r="G17" s="16" t="n">
        <f aca="false">IF(F17="","",F17)</f>
        <v>800000</v>
      </c>
      <c r="H17" s="12" t="s">
        <v>23</v>
      </c>
      <c r="I17" s="12" t="s">
        <v>35</v>
      </c>
    </row>
    <row r="18" customFormat="false" ht="15" hidden="false" customHeight="false" outlineLevel="0" collapsed="false">
      <c r="A18" s="12" t="s">
        <v>36</v>
      </c>
      <c r="B18" s="12" t="s">
        <v>37</v>
      </c>
      <c r="C18" s="12" t="s">
        <v>33</v>
      </c>
      <c r="D18" s="13" t="s">
        <v>34</v>
      </c>
      <c r="E18" s="16" t="n">
        <f aca="false">IF(F18="","",F18)</f>
        <v>1000000</v>
      </c>
      <c r="F18" s="17" t="n">
        <v>1000000</v>
      </c>
      <c r="G18" s="16" t="n">
        <f aca="false">IF(F18="","",F18)</f>
        <v>1000000</v>
      </c>
      <c r="H18" s="12" t="s">
        <v>38</v>
      </c>
      <c r="I18" s="12" t="s">
        <v>39</v>
      </c>
    </row>
    <row r="19" customFormat="false" ht="15" hidden="false" customHeight="false" outlineLevel="0" collapsed="false">
      <c r="A19" s="12" t="s">
        <v>40</v>
      </c>
      <c r="B19" s="12" t="s">
        <v>41</v>
      </c>
      <c r="C19" s="12" t="s">
        <v>33</v>
      </c>
      <c r="D19" s="13" t="s">
        <v>22</v>
      </c>
      <c r="E19" s="16" t="n">
        <f aca="false">IF(F19="","",F19)</f>
        <v>1500000</v>
      </c>
      <c r="F19" s="17" t="n">
        <v>1500000</v>
      </c>
      <c r="G19" s="16" t="n">
        <f aca="false">IF(F19="","",F19)</f>
        <v>1500000</v>
      </c>
      <c r="H19" s="12" t="s">
        <v>23</v>
      </c>
      <c r="I19" s="12" t="s">
        <v>42</v>
      </c>
    </row>
    <row r="20" customFormat="false" ht="15" hidden="false" customHeight="false" outlineLevel="0" collapsed="false">
      <c r="A20" s="12" t="s">
        <v>43</v>
      </c>
      <c r="B20" s="12" t="s">
        <v>44</v>
      </c>
      <c r="C20" s="12" t="s">
        <v>33</v>
      </c>
      <c r="D20" s="13" t="s">
        <v>22</v>
      </c>
      <c r="E20" s="16" t="n">
        <f aca="false">IF(F20="","",F20)</f>
        <v>1020000</v>
      </c>
      <c r="F20" s="18" t="n">
        <f aca="false">F14*F17+F15*F18+F16*F19</f>
        <v>1020000</v>
      </c>
      <c r="G20" s="16" t="n">
        <f aca="false">IF(F20="","",F20)</f>
        <v>1020000</v>
      </c>
      <c r="H20" s="12" t="s">
        <v>45</v>
      </c>
      <c r="I20" s="12" t="s">
        <v>46</v>
      </c>
    </row>
    <row r="21" customFormat="false" ht="15" hidden="false" customHeight="false" outlineLevel="0" collapsed="false">
      <c r="A21" s="12" t="s">
        <v>47</v>
      </c>
      <c r="B21" s="12" t="s">
        <v>48</v>
      </c>
      <c r="C21" s="12" t="s">
        <v>49</v>
      </c>
      <c r="D21" s="13" t="s">
        <v>34</v>
      </c>
      <c r="E21" s="19" t="n">
        <f aca="false">IF(F21="","",F21)</f>
        <v>2</v>
      </c>
      <c r="F21" s="20" t="n">
        <v>2</v>
      </c>
      <c r="G21" s="19" t="n">
        <f aca="false">IF(F21="","",F21)</f>
        <v>2</v>
      </c>
      <c r="H21" s="12" t="s">
        <v>50</v>
      </c>
      <c r="I21" s="12" t="s">
        <v>51</v>
      </c>
    </row>
    <row r="22" customFormat="false" ht="15" hidden="false" customHeight="false" outlineLevel="0" collapsed="false">
      <c r="A22" s="12" t="s">
        <v>52</v>
      </c>
      <c r="B22" s="12" t="s">
        <v>53</v>
      </c>
      <c r="C22" s="12" t="s">
        <v>54</v>
      </c>
      <c r="D22" s="13" t="s">
        <v>34</v>
      </c>
      <c r="E22" s="19" t="n">
        <f aca="false">IF(F22="","",F22)</f>
        <v>0</v>
      </c>
      <c r="F22" s="20" t="n">
        <v>0</v>
      </c>
      <c r="G22" s="19" t="n">
        <f aca="false">IF(F22="","",F22)</f>
        <v>0</v>
      </c>
      <c r="H22" s="12" t="s">
        <v>55</v>
      </c>
      <c r="I22" s="12" t="s">
        <v>56</v>
      </c>
    </row>
    <row r="23" customFormat="false" ht="15" hidden="false" customHeight="false" outlineLevel="0" collapsed="false">
      <c r="A23" s="12" t="s">
        <v>57</v>
      </c>
      <c r="B23" s="12" t="s">
        <v>58</v>
      </c>
      <c r="C23" s="12" t="s">
        <v>21</v>
      </c>
      <c r="D23" s="13" t="s">
        <v>34</v>
      </c>
      <c r="E23" s="14" t="n">
        <f aca="false">IF(F23="","",F23)</f>
        <v>0</v>
      </c>
      <c r="F23" s="15" t="n">
        <v>0</v>
      </c>
      <c r="G23" s="14" t="n">
        <f aca="false">IF(F23="","",F23)</f>
        <v>0</v>
      </c>
      <c r="H23" s="12" t="s">
        <v>55</v>
      </c>
      <c r="I23" s="12" t="s">
        <v>59</v>
      </c>
    </row>
    <row r="24" customFormat="false" ht="23.85" hidden="false" customHeight="false" outlineLevel="0" collapsed="false">
      <c r="A24" s="12" t="s">
        <v>60</v>
      </c>
      <c r="B24" s="12" t="s">
        <v>61</v>
      </c>
      <c r="C24" s="12" t="s">
        <v>62</v>
      </c>
      <c r="D24" s="21" t="s">
        <v>63</v>
      </c>
      <c r="E24" s="16" t="n">
        <f aca="false">IF(F24="","",F24)</f>
        <v>12000</v>
      </c>
      <c r="F24" s="22" t="n">
        <v>12000</v>
      </c>
      <c r="G24" s="16" t="n">
        <f aca="false">IF(F24="","",F24)</f>
        <v>12000</v>
      </c>
      <c r="H24" s="12" t="s">
        <v>64</v>
      </c>
      <c r="I24" s="12" t="s">
        <v>65</v>
      </c>
    </row>
    <row r="25" customFormat="false" ht="15" hidden="false" customHeight="false" outlineLevel="0" collapsed="false">
      <c r="A25" s="10" t="s">
        <v>66</v>
      </c>
      <c r="B25" s="11"/>
      <c r="C25" s="11"/>
      <c r="D25" s="11"/>
      <c r="E25" s="11"/>
      <c r="F25" s="11"/>
      <c r="G25" s="11"/>
      <c r="H25" s="11"/>
      <c r="I25" s="11"/>
    </row>
    <row r="26" customFormat="false" ht="23.85" hidden="false" customHeight="false" outlineLevel="0" collapsed="false">
      <c r="A26" s="12" t="s">
        <v>67</v>
      </c>
      <c r="B26" s="12" t="s">
        <v>68</v>
      </c>
      <c r="C26" s="12" t="s">
        <v>69</v>
      </c>
      <c r="D26" s="23" t="s">
        <v>70</v>
      </c>
      <c r="E26" s="19" t="n">
        <f aca="false">IF(F26="","",F26)</f>
        <v>3</v>
      </c>
      <c r="F26" s="24" t="n">
        <v>3</v>
      </c>
      <c r="G26" s="19" t="n">
        <f aca="false">IF(F26="","",F26)</f>
        <v>3</v>
      </c>
      <c r="H26" s="12" t="s">
        <v>71</v>
      </c>
      <c r="I26" s="12" t="s">
        <v>72</v>
      </c>
    </row>
    <row r="27" customFormat="false" ht="57.45" hidden="false" customHeight="false" outlineLevel="0" collapsed="false">
      <c r="A27" s="12" t="s">
        <v>73</v>
      </c>
      <c r="B27" s="12" t="s">
        <v>74</v>
      </c>
      <c r="C27" s="12" t="s">
        <v>75</v>
      </c>
      <c r="D27" s="13" t="s">
        <v>22</v>
      </c>
      <c r="E27" s="25" t="n">
        <v>300000</v>
      </c>
      <c r="F27" s="17" t="n">
        <v>400000</v>
      </c>
      <c r="G27" s="25" t="n">
        <v>700000</v>
      </c>
      <c r="H27" s="12" t="s">
        <v>76</v>
      </c>
      <c r="I27" s="12" t="s">
        <v>77</v>
      </c>
    </row>
    <row r="28" customFormat="false" ht="23.85" hidden="false" customHeight="false" outlineLevel="0" collapsed="false">
      <c r="A28" s="12" t="s">
        <v>78</v>
      </c>
      <c r="B28" s="12" t="s">
        <v>79</v>
      </c>
      <c r="C28" s="12" t="s">
        <v>21</v>
      </c>
      <c r="D28" s="21" t="s">
        <v>80</v>
      </c>
      <c r="E28" s="26" t="n">
        <v>0.3</v>
      </c>
      <c r="F28" s="27" t="n">
        <v>0.5</v>
      </c>
      <c r="G28" s="26" t="n">
        <v>0.5</v>
      </c>
      <c r="H28" s="12" t="s">
        <v>81</v>
      </c>
      <c r="I28" s="12" t="s">
        <v>82</v>
      </c>
    </row>
    <row r="29" customFormat="false" ht="15" hidden="false" customHeight="false" outlineLevel="0" collapsed="false">
      <c r="A29" s="12" t="s">
        <v>83</v>
      </c>
      <c r="B29" s="12" t="s">
        <v>84</v>
      </c>
      <c r="C29" s="12" t="s">
        <v>75</v>
      </c>
      <c r="D29" s="13" t="s">
        <v>34</v>
      </c>
      <c r="E29" s="16" t="n">
        <f aca="false">IF(F29="","",F29)</f>
        <v>100000</v>
      </c>
      <c r="F29" s="17" t="n">
        <v>100000</v>
      </c>
      <c r="G29" s="16" t="n">
        <f aca="false">IF(F29="","",F29)</f>
        <v>100000</v>
      </c>
      <c r="H29" s="12" t="s">
        <v>85</v>
      </c>
      <c r="I29" s="12" t="s">
        <v>86</v>
      </c>
    </row>
    <row r="30" customFormat="false" ht="15" hidden="false" customHeight="false" outlineLevel="0" collapsed="false">
      <c r="A30" s="12" t="s">
        <v>87</v>
      </c>
      <c r="B30" s="12" t="s">
        <v>88</v>
      </c>
      <c r="C30" s="12" t="s">
        <v>75</v>
      </c>
      <c r="D30" s="13" t="s">
        <v>34</v>
      </c>
      <c r="E30" s="16" t="n">
        <f aca="false">IF(F30="","",F30)</f>
        <v>100000</v>
      </c>
      <c r="F30" s="17" t="n">
        <v>100000</v>
      </c>
      <c r="G30" s="16" t="n">
        <f aca="false">IF(F30="","",F30)</f>
        <v>100000</v>
      </c>
      <c r="H30" s="12" t="s">
        <v>89</v>
      </c>
      <c r="I30" s="12" t="s">
        <v>90</v>
      </c>
    </row>
    <row r="31" customFormat="false" ht="15" hidden="false" customHeight="false" outlineLevel="0" collapsed="false">
      <c r="A31" s="12" t="s">
        <v>91</v>
      </c>
      <c r="B31" s="12" t="s">
        <v>92</v>
      </c>
      <c r="C31" s="12" t="s">
        <v>75</v>
      </c>
      <c r="D31" s="13" t="s">
        <v>34</v>
      </c>
      <c r="E31" s="16" t="n">
        <f aca="false">IF(F31="","",F31)</f>
        <v>20000</v>
      </c>
      <c r="F31" s="17" t="n">
        <v>20000</v>
      </c>
      <c r="G31" s="16" t="n">
        <f aca="false">IF(F31="","",F31)</f>
        <v>20000</v>
      </c>
      <c r="H31" s="12" t="s">
        <v>85</v>
      </c>
      <c r="I31" s="12"/>
    </row>
    <row r="32" customFormat="false" ht="15" hidden="false" customHeight="false" outlineLevel="0" collapsed="false">
      <c r="A32" s="12" t="s">
        <v>93</v>
      </c>
      <c r="B32" s="12" t="s">
        <v>94</v>
      </c>
      <c r="C32" s="12" t="s">
        <v>75</v>
      </c>
      <c r="D32" s="13" t="s">
        <v>34</v>
      </c>
      <c r="E32" s="16" t="n">
        <f aca="false">IF(F32="","",F32)</f>
        <v>70000</v>
      </c>
      <c r="F32" s="17" t="n">
        <v>70000</v>
      </c>
      <c r="G32" s="16" t="n">
        <f aca="false">IF(F32="","",F32)</f>
        <v>70000</v>
      </c>
      <c r="H32" s="12" t="s">
        <v>85</v>
      </c>
      <c r="I32" s="12"/>
    </row>
    <row r="33" customFormat="false" ht="15" hidden="false" customHeight="false" outlineLevel="0" collapsed="false">
      <c r="A33" s="12" t="s">
        <v>95</v>
      </c>
      <c r="B33" s="12" t="s">
        <v>96</v>
      </c>
      <c r="C33" s="12" t="s">
        <v>75</v>
      </c>
      <c r="D33" s="13" t="s">
        <v>34</v>
      </c>
      <c r="E33" s="16" t="n">
        <f aca="false">IF(F33="","",F33)</f>
        <v>0</v>
      </c>
      <c r="F33" s="17" t="n">
        <v>0</v>
      </c>
      <c r="G33" s="16" t="n">
        <f aca="false">IF(F33="","",F33)</f>
        <v>0</v>
      </c>
      <c r="H33" s="12" t="s">
        <v>85</v>
      </c>
      <c r="I33" s="12" t="s">
        <v>97</v>
      </c>
    </row>
    <row r="34" customFormat="false" ht="15" hidden="false" customHeight="false" outlineLevel="0" collapsed="false">
      <c r="A34" s="12" t="s">
        <v>98</v>
      </c>
      <c r="B34" s="12" t="s">
        <v>99</v>
      </c>
      <c r="C34" s="12" t="s">
        <v>75</v>
      </c>
      <c r="D34" s="13" t="s">
        <v>34</v>
      </c>
      <c r="E34" s="16" t="n">
        <f aca="false">IF(F34="","",F34)</f>
        <v>10000</v>
      </c>
      <c r="F34" s="17" t="n">
        <v>10000</v>
      </c>
      <c r="G34" s="16" t="n">
        <f aca="false">IF(F34="","",F34)</f>
        <v>10000</v>
      </c>
      <c r="H34" s="12" t="s">
        <v>85</v>
      </c>
      <c r="I34" s="12"/>
    </row>
    <row r="35" customFormat="false" ht="23.85" hidden="false" customHeight="false" outlineLevel="0" collapsed="false">
      <c r="A35" s="12" t="s">
        <v>100</v>
      </c>
      <c r="B35" s="12" t="s">
        <v>101</v>
      </c>
      <c r="C35" s="12" t="s">
        <v>75</v>
      </c>
      <c r="D35" s="28" t="s">
        <v>102</v>
      </c>
      <c r="E35" s="16" t="str">
        <f aca="false">IF(F35="","",F35)</f>
        <v/>
      </c>
      <c r="F35" s="29"/>
      <c r="G35" s="16" t="str">
        <f aca="false">IF(F35="","",F35)</f>
        <v/>
      </c>
      <c r="H35" s="12" t="s">
        <v>103</v>
      </c>
      <c r="I35" s="12" t="s">
        <v>104</v>
      </c>
    </row>
    <row r="36" customFormat="false" ht="15" hidden="false" customHeight="false" outlineLevel="0" collapsed="false">
      <c r="A36" s="10" t="s">
        <v>105</v>
      </c>
      <c r="B36" s="11"/>
      <c r="C36" s="11"/>
      <c r="D36" s="11"/>
      <c r="E36" s="11"/>
      <c r="F36" s="11"/>
      <c r="G36" s="11"/>
      <c r="H36" s="11"/>
      <c r="I36" s="11"/>
    </row>
    <row r="37" customFormat="false" ht="35.05" hidden="false" customHeight="false" outlineLevel="0" collapsed="false">
      <c r="A37" s="12" t="s">
        <v>106</v>
      </c>
      <c r="B37" s="12" t="s">
        <v>107</v>
      </c>
      <c r="C37" s="12" t="s">
        <v>108</v>
      </c>
      <c r="D37" s="23" t="s">
        <v>70</v>
      </c>
      <c r="E37" s="19" t="n">
        <f aca="false">IF(F37="","",F37)</f>
        <v>2</v>
      </c>
      <c r="F37" s="24" t="n">
        <v>2</v>
      </c>
      <c r="G37" s="19" t="n">
        <f aca="false">IF(F37="","",F37)</f>
        <v>2</v>
      </c>
      <c r="H37" s="12" t="s">
        <v>109</v>
      </c>
      <c r="I37" s="12" t="s">
        <v>110</v>
      </c>
    </row>
    <row r="38" customFormat="false" ht="35.05" hidden="false" customHeight="false" outlineLevel="0" collapsed="false">
      <c r="A38" s="12" t="s">
        <v>111</v>
      </c>
      <c r="B38" s="12" t="s">
        <v>112</v>
      </c>
      <c r="C38" s="12" t="s">
        <v>108</v>
      </c>
      <c r="D38" s="23" t="s">
        <v>70</v>
      </c>
      <c r="E38" s="19" t="n">
        <f aca="false">IF(F38="","",F38)</f>
        <v>1</v>
      </c>
      <c r="F38" s="24" t="n">
        <v>1</v>
      </c>
      <c r="G38" s="19" t="n">
        <f aca="false">IF(F38="","",F38)</f>
        <v>1</v>
      </c>
      <c r="H38" s="12" t="s">
        <v>113</v>
      </c>
      <c r="I38" s="12" t="s">
        <v>114</v>
      </c>
    </row>
    <row r="39" customFormat="false" ht="23.85" hidden="false" customHeight="false" outlineLevel="0" collapsed="false">
      <c r="A39" s="12" t="s">
        <v>115</v>
      </c>
      <c r="B39" s="12" t="s">
        <v>116</v>
      </c>
      <c r="C39" s="12" t="s">
        <v>54</v>
      </c>
      <c r="D39" s="13" t="s">
        <v>34</v>
      </c>
      <c r="E39" s="19" t="n">
        <f aca="false">IF(F39="","",F39)</f>
        <v>1</v>
      </c>
      <c r="F39" s="20" t="n">
        <v>1</v>
      </c>
      <c r="G39" s="19" t="n">
        <f aca="false">IF(F39="","",F39)</f>
        <v>1</v>
      </c>
      <c r="H39" s="12" t="s">
        <v>117</v>
      </c>
      <c r="I39" s="12" t="s">
        <v>118</v>
      </c>
    </row>
    <row r="40" customFormat="false" ht="23.85" hidden="false" customHeight="false" outlineLevel="0" collapsed="false">
      <c r="A40" s="12" t="s">
        <v>119</v>
      </c>
      <c r="B40" s="12" t="s">
        <v>120</v>
      </c>
      <c r="C40" s="12" t="s">
        <v>21</v>
      </c>
      <c r="D40" s="13" t="s">
        <v>34</v>
      </c>
      <c r="E40" s="14" t="n">
        <f aca="false">IF(F40="","",F40)</f>
        <v>0.1</v>
      </c>
      <c r="F40" s="15" t="n">
        <v>0.1</v>
      </c>
      <c r="G40" s="14" t="n">
        <f aca="false">IF(F40="","",F40)</f>
        <v>0.1</v>
      </c>
      <c r="H40" s="12" t="s">
        <v>121</v>
      </c>
      <c r="I40" s="12" t="s">
        <v>122</v>
      </c>
    </row>
    <row r="41" customFormat="false" ht="23.85" hidden="false" customHeight="false" outlineLevel="0" collapsed="false">
      <c r="A41" s="12" t="s">
        <v>123</v>
      </c>
      <c r="B41" s="12" t="s">
        <v>124</v>
      </c>
      <c r="C41" s="12" t="s">
        <v>21</v>
      </c>
      <c r="D41" s="21" t="s">
        <v>80</v>
      </c>
      <c r="E41" s="14" t="n">
        <f aca="false">IF(F41="","",F41)</f>
        <v>0.7</v>
      </c>
      <c r="F41" s="27" t="n">
        <v>0.7</v>
      </c>
      <c r="G41" s="14" t="n">
        <f aca="false">IF(F41="","",F41)</f>
        <v>0.7</v>
      </c>
      <c r="H41" s="12" t="s">
        <v>125</v>
      </c>
      <c r="I41" s="12" t="s">
        <v>126</v>
      </c>
    </row>
    <row r="42" customFormat="false" ht="23.85" hidden="false" customHeight="false" outlineLevel="0" collapsed="false">
      <c r="A42" s="12" t="s">
        <v>127</v>
      </c>
      <c r="B42" s="12" t="s">
        <v>128</v>
      </c>
      <c r="C42" s="12" t="s">
        <v>129</v>
      </c>
      <c r="D42" s="21" t="s">
        <v>80</v>
      </c>
      <c r="E42" s="30" t="n">
        <v>9</v>
      </c>
      <c r="F42" s="31" t="n">
        <v>6</v>
      </c>
      <c r="G42" s="30" t="n">
        <v>3</v>
      </c>
      <c r="H42" s="12" t="s">
        <v>125</v>
      </c>
      <c r="I42" s="12" t="s">
        <v>130</v>
      </c>
    </row>
    <row r="43" customFormat="false" ht="15" hidden="false" customHeight="false" outlineLevel="0" collapsed="false">
      <c r="A43" s="12" t="s">
        <v>131</v>
      </c>
      <c r="B43" s="12" t="s">
        <v>132</v>
      </c>
      <c r="C43" s="12" t="s">
        <v>33</v>
      </c>
      <c r="D43" s="21" t="s">
        <v>80</v>
      </c>
      <c r="E43" s="16" t="n">
        <f aca="false">IF(F43="","",F43)</f>
        <v>1000000</v>
      </c>
      <c r="F43" s="22" t="n">
        <v>1000000</v>
      </c>
      <c r="G43" s="16" t="n">
        <f aca="false">IF(F43="","",F43)</f>
        <v>1000000</v>
      </c>
      <c r="H43" s="12" t="s">
        <v>125</v>
      </c>
      <c r="I43" s="12" t="s">
        <v>133</v>
      </c>
    </row>
    <row r="44" customFormat="false" ht="23.85" hidden="false" customHeight="false" outlineLevel="0" collapsed="false">
      <c r="A44" s="12" t="s">
        <v>134</v>
      </c>
      <c r="B44" s="12" t="s">
        <v>135</v>
      </c>
      <c r="C44" s="12" t="s">
        <v>21</v>
      </c>
      <c r="D44" s="13" t="s">
        <v>34</v>
      </c>
      <c r="E44" s="14" t="n">
        <f aca="false">IF(F44="","",F44)</f>
        <v>0</v>
      </c>
      <c r="F44" s="15" t="n">
        <v>0</v>
      </c>
      <c r="G44" s="14" t="n">
        <f aca="false">IF(F44="","",F44)</f>
        <v>0</v>
      </c>
      <c r="H44" s="12" t="s">
        <v>136</v>
      </c>
      <c r="I44" s="12" t="s">
        <v>137</v>
      </c>
    </row>
    <row r="45" customFormat="false" ht="23.85" hidden="false" customHeight="false" outlineLevel="0" collapsed="false">
      <c r="A45" s="12" t="s">
        <v>138</v>
      </c>
      <c r="B45" s="12" t="s">
        <v>139</v>
      </c>
      <c r="C45" s="12" t="s">
        <v>21</v>
      </c>
      <c r="D45" s="28" t="s">
        <v>102</v>
      </c>
      <c r="E45" s="14" t="str">
        <f aca="false">IF(F45="","",F45)</f>
        <v/>
      </c>
      <c r="F45" s="32"/>
      <c r="G45" s="14" t="str">
        <f aca="false">IF(F45="","",F45)</f>
        <v/>
      </c>
      <c r="H45" s="12" t="s">
        <v>140</v>
      </c>
      <c r="I45" s="12" t="s">
        <v>141</v>
      </c>
    </row>
    <row r="46" customFormat="false" ht="15" hidden="false" customHeight="false" outlineLevel="0" collapsed="false">
      <c r="A46" s="12" t="s">
        <v>142</v>
      </c>
      <c r="B46" s="12" t="s">
        <v>143</v>
      </c>
      <c r="C46" s="12" t="s">
        <v>21</v>
      </c>
      <c r="D46" s="13" t="s">
        <v>34</v>
      </c>
      <c r="E46" s="14" t="n">
        <f aca="false">IF(F46="","",F46)</f>
        <v>0.1</v>
      </c>
      <c r="F46" s="15" t="n">
        <v>0.1</v>
      </c>
      <c r="G46" s="14" t="n">
        <f aca="false">IF(F46="","",F46)</f>
        <v>0.1</v>
      </c>
      <c r="H46" s="12" t="s">
        <v>140</v>
      </c>
      <c r="I46" s="12" t="s">
        <v>144</v>
      </c>
    </row>
    <row r="47" customFormat="false" ht="23.85" hidden="false" customHeight="false" outlineLevel="0" collapsed="false">
      <c r="A47" s="12" t="s">
        <v>145</v>
      </c>
      <c r="B47" s="12" t="s">
        <v>146</v>
      </c>
      <c r="C47" s="12" t="s">
        <v>21</v>
      </c>
      <c r="D47" s="33" t="s">
        <v>147</v>
      </c>
      <c r="E47" s="14" t="n">
        <f aca="false">IF(F47="","",F47)</f>
        <v>0.25</v>
      </c>
      <c r="F47" s="34" t="n">
        <v>0.25</v>
      </c>
      <c r="G47" s="14" t="n">
        <f aca="false">IF(F47="","",F47)</f>
        <v>0.25</v>
      </c>
      <c r="H47" s="12" t="s">
        <v>103</v>
      </c>
      <c r="I47" s="12" t="s">
        <v>148</v>
      </c>
    </row>
    <row r="48" customFormat="false" ht="15" hidden="false" customHeight="false" outlineLevel="0" collapsed="false">
      <c r="A48" s="10" t="s">
        <v>149</v>
      </c>
      <c r="B48" s="11"/>
      <c r="C48" s="11"/>
      <c r="D48" s="11"/>
      <c r="E48" s="11"/>
      <c r="F48" s="11"/>
      <c r="G48" s="11"/>
      <c r="H48" s="11"/>
      <c r="I48" s="11"/>
    </row>
    <row r="49" customFormat="false" ht="23.85" hidden="false" customHeight="false" outlineLevel="0" collapsed="false">
      <c r="A49" s="12" t="s">
        <v>150</v>
      </c>
      <c r="B49" s="12" t="s">
        <v>151</v>
      </c>
      <c r="C49" s="12" t="s">
        <v>21</v>
      </c>
      <c r="D49" s="21" t="s">
        <v>80</v>
      </c>
      <c r="E49" s="14" t="n">
        <f aca="false">IF(F49="","",F49)</f>
        <v>0.2</v>
      </c>
      <c r="F49" s="27" t="n">
        <v>0.2</v>
      </c>
      <c r="G49" s="14" t="n">
        <f aca="false">IF(F49="","",F49)</f>
        <v>0.2</v>
      </c>
      <c r="H49" s="12" t="s">
        <v>152</v>
      </c>
      <c r="I49" s="12" t="s">
        <v>153</v>
      </c>
    </row>
    <row r="50" customFormat="false" ht="23.85" hidden="false" customHeight="false" outlineLevel="0" collapsed="false">
      <c r="A50" s="12" t="s">
        <v>154</v>
      </c>
      <c r="B50" s="12" t="s">
        <v>155</v>
      </c>
      <c r="C50" s="12" t="s">
        <v>156</v>
      </c>
      <c r="D50" s="13" t="s">
        <v>34</v>
      </c>
      <c r="E50" s="16" t="n">
        <f aca="false">IF(F50="","",F50)</f>
        <v>0</v>
      </c>
      <c r="F50" s="17" t="n">
        <v>0</v>
      </c>
      <c r="G50" s="16" t="n">
        <f aca="false">IF(F50="","",F50)</f>
        <v>0</v>
      </c>
      <c r="H50" s="12" t="s">
        <v>157</v>
      </c>
      <c r="I50" s="12" t="s">
        <v>158</v>
      </c>
    </row>
    <row r="51" customFormat="false" ht="15" hidden="false" customHeight="false" outlineLevel="0" collapsed="false">
      <c r="A51" s="12" t="s">
        <v>159</v>
      </c>
      <c r="B51" s="12" t="s">
        <v>160</v>
      </c>
      <c r="C51" s="12" t="s">
        <v>161</v>
      </c>
      <c r="D51" s="13" t="s">
        <v>34</v>
      </c>
      <c r="E51" s="19" t="n">
        <f aca="false">IF(F51="","",F51)</f>
        <v>10</v>
      </c>
      <c r="F51" s="20" t="n">
        <v>10</v>
      </c>
      <c r="G51" s="19" t="n">
        <f aca="false">IF(F51="","",F51)</f>
        <v>10</v>
      </c>
      <c r="H51" s="12" t="s">
        <v>162</v>
      </c>
      <c r="I51" s="12"/>
    </row>
    <row r="52" customFormat="false" ht="15" hidden="false" customHeight="false" outlineLevel="0" collapsed="false">
      <c r="A52" s="12" t="s">
        <v>163</v>
      </c>
      <c r="B52" s="12" t="s">
        <v>164</v>
      </c>
      <c r="C52" s="12" t="s">
        <v>161</v>
      </c>
      <c r="D52" s="13" t="s">
        <v>34</v>
      </c>
      <c r="E52" s="19" t="n">
        <f aca="false">IF(F52="","",F52)</f>
        <v>20</v>
      </c>
      <c r="F52" s="20" t="n">
        <v>20</v>
      </c>
      <c r="G52" s="19" t="n">
        <f aca="false">IF(F52="","",F52)</f>
        <v>20</v>
      </c>
      <c r="H52" s="12" t="s">
        <v>162</v>
      </c>
      <c r="I52" s="12" t="s">
        <v>165</v>
      </c>
    </row>
    <row r="53" customFormat="false" ht="15" hidden="false" customHeight="false" outlineLevel="0" collapsed="false">
      <c r="A53" s="12" t="s">
        <v>166</v>
      </c>
      <c r="B53" s="12" t="s">
        <v>167</v>
      </c>
      <c r="C53" s="12" t="s">
        <v>129</v>
      </c>
      <c r="D53" s="13" t="s">
        <v>34</v>
      </c>
      <c r="E53" s="19" t="n">
        <f aca="false">IF(F53="","",F53)</f>
        <v>3</v>
      </c>
      <c r="F53" s="20" t="n">
        <v>3</v>
      </c>
      <c r="G53" s="19" t="n">
        <f aca="false">IF(F53="","",F53)</f>
        <v>3</v>
      </c>
      <c r="H53" s="12" t="s">
        <v>168</v>
      </c>
      <c r="I53" s="12" t="s">
        <v>169</v>
      </c>
    </row>
    <row r="54" customFormat="false" ht="15" hidden="false" customHeight="false" outlineLevel="0" collapsed="false">
      <c r="A54" s="10" t="s">
        <v>170</v>
      </c>
      <c r="B54" s="11"/>
      <c r="C54" s="11"/>
      <c r="D54" s="11"/>
      <c r="E54" s="11"/>
      <c r="F54" s="11"/>
      <c r="G54" s="11"/>
      <c r="H54" s="11"/>
      <c r="I54" s="11"/>
    </row>
    <row r="55" customFormat="false" ht="23.85" hidden="false" customHeight="false" outlineLevel="0" collapsed="false">
      <c r="A55" s="12" t="s">
        <v>171</v>
      </c>
      <c r="B55" s="12" t="s">
        <v>172</v>
      </c>
      <c r="C55" s="12" t="s">
        <v>161</v>
      </c>
      <c r="D55" s="33" t="s">
        <v>147</v>
      </c>
      <c r="E55" s="35" t="n">
        <v>100</v>
      </c>
      <c r="F55" s="36" t="n">
        <v>300</v>
      </c>
      <c r="G55" s="35" t="n">
        <v>900</v>
      </c>
      <c r="H55" s="12" t="s">
        <v>173</v>
      </c>
      <c r="I55" s="12" t="s">
        <v>174</v>
      </c>
    </row>
    <row r="56" customFormat="false" ht="15" hidden="false" customHeight="false" outlineLevel="0" collapsed="false">
      <c r="A56" s="12" t="s">
        <v>175</v>
      </c>
      <c r="B56" s="12" t="s">
        <v>176</v>
      </c>
      <c r="C56" s="12" t="s">
        <v>21</v>
      </c>
      <c r="D56" s="28" t="s">
        <v>102</v>
      </c>
      <c r="E56" s="14" t="str">
        <f aca="false">IF(F56="","",F56)</f>
        <v/>
      </c>
      <c r="F56" s="32"/>
      <c r="G56" s="14" t="str">
        <f aca="false">IF(F56="","",F56)</f>
        <v/>
      </c>
      <c r="H56" s="12" t="s">
        <v>177</v>
      </c>
      <c r="I56" s="12" t="s">
        <v>178</v>
      </c>
    </row>
    <row r="57" customFormat="false" ht="15" hidden="false" customHeight="false" outlineLevel="0" collapsed="false">
      <c r="A57" s="12" t="s">
        <v>179</v>
      </c>
      <c r="B57" s="12" t="s">
        <v>180</v>
      </c>
      <c r="C57" s="12" t="s">
        <v>21</v>
      </c>
      <c r="D57" s="21" t="s">
        <v>80</v>
      </c>
      <c r="E57" s="26" t="n">
        <v>0.15</v>
      </c>
      <c r="F57" s="27" t="n">
        <v>0.2</v>
      </c>
      <c r="G57" s="26" t="n">
        <v>0.25</v>
      </c>
      <c r="H57" s="12" t="s">
        <v>181</v>
      </c>
      <c r="I57" s="12" t="s">
        <v>182</v>
      </c>
    </row>
    <row r="58" customFormat="false" ht="35.05" hidden="false" customHeight="false" outlineLevel="0" collapsed="false">
      <c r="A58" s="12" t="s">
        <v>183</v>
      </c>
      <c r="B58" s="12" t="s">
        <v>184</v>
      </c>
      <c r="C58" s="12" t="s">
        <v>21</v>
      </c>
      <c r="D58" s="21" t="s">
        <v>80</v>
      </c>
      <c r="E58" s="26" t="n">
        <v>0.05</v>
      </c>
      <c r="F58" s="27" t="n">
        <v>0.05</v>
      </c>
      <c r="G58" s="26" t="n">
        <v>0.05</v>
      </c>
      <c r="H58" s="12" t="s">
        <v>185</v>
      </c>
      <c r="I58" s="12" t="s">
        <v>186</v>
      </c>
    </row>
    <row r="59" customFormat="false" ht="15" hidden="false" customHeight="false" outlineLevel="0" collapsed="false">
      <c r="A59" s="12" t="s">
        <v>187</v>
      </c>
      <c r="B59" s="12" t="s">
        <v>188</v>
      </c>
      <c r="C59" s="12" t="s">
        <v>21</v>
      </c>
      <c r="D59" s="21" t="s">
        <v>80</v>
      </c>
      <c r="E59" s="14" t="n">
        <f aca="false">IF(F59="","",F59)</f>
        <v>0.9</v>
      </c>
      <c r="F59" s="27" t="n">
        <v>0.9</v>
      </c>
      <c r="G59" s="14" t="n">
        <f aca="false">IF(F59="","",F59)</f>
        <v>0.9</v>
      </c>
      <c r="H59" s="12" t="s">
        <v>189</v>
      </c>
      <c r="I59" s="12" t="s">
        <v>190</v>
      </c>
    </row>
    <row r="60" customFormat="false" ht="15" hidden="false" customHeight="false" outlineLevel="0" collapsed="false">
      <c r="A60" s="12" t="s">
        <v>191</v>
      </c>
      <c r="B60" s="12" t="s">
        <v>192</v>
      </c>
      <c r="C60" s="12" t="s">
        <v>129</v>
      </c>
      <c r="D60" s="21" t="s">
        <v>80</v>
      </c>
      <c r="E60" s="19" t="n">
        <f aca="false">IF(F60="","",F60)</f>
        <v>2</v>
      </c>
      <c r="F60" s="31" t="n">
        <v>2</v>
      </c>
      <c r="G60" s="19" t="n">
        <f aca="false">IF(F60="","",F60)</f>
        <v>2</v>
      </c>
      <c r="H60" s="12" t="s">
        <v>193</v>
      </c>
      <c r="I60" s="12" t="s">
        <v>194</v>
      </c>
    </row>
    <row r="61" customFormat="false" ht="15" hidden="false" customHeight="false" outlineLevel="0" collapsed="false">
      <c r="A61" s="10" t="s">
        <v>195</v>
      </c>
      <c r="B61" s="11"/>
      <c r="C61" s="11"/>
      <c r="D61" s="11"/>
      <c r="E61" s="11"/>
      <c r="F61" s="11"/>
      <c r="G61" s="11"/>
      <c r="H61" s="11"/>
      <c r="I61" s="11"/>
    </row>
    <row r="62" customFormat="false" ht="23.85" hidden="false" customHeight="false" outlineLevel="0" collapsed="false">
      <c r="A62" s="12" t="s">
        <v>196</v>
      </c>
      <c r="B62" s="12" t="s">
        <v>197</v>
      </c>
      <c r="C62" s="12" t="s">
        <v>156</v>
      </c>
      <c r="D62" s="13" t="s">
        <v>34</v>
      </c>
      <c r="E62" s="16" t="n">
        <f aca="false">IF(F62="","",F62)</f>
        <v>1000000</v>
      </c>
      <c r="F62" s="17" t="n">
        <v>1000000</v>
      </c>
      <c r="G62" s="16" t="n">
        <f aca="false">IF(F62="","",F62)</f>
        <v>1000000</v>
      </c>
      <c r="H62" s="12" t="s">
        <v>198</v>
      </c>
      <c r="I62" s="12" t="s">
        <v>199</v>
      </c>
    </row>
    <row r="63" customFormat="false" ht="23.85" hidden="false" customHeight="false" outlineLevel="0" collapsed="false">
      <c r="A63" s="12" t="s">
        <v>200</v>
      </c>
      <c r="B63" s="12" t="s">
        <v>201</v>
      </c>
      <c r="C63" s="12" t="s">
        <v>156</v>
      </c>
      <c r="D63" s="13" t="s">
        <v>34</v>
      </c>
      <c r="E63" s="16" t="n">
        <f aca="false">IF(F63="","",F63)</f>
        <v>6500000</v>
      </c>
      <c r="F63" s="17" t="n">
        <v>6500000</v>
      </c>
      <c r="G63" s="16" t="n">
        <f aca="false">IF(F63="","",F63)</f>
        <v>6500000</v>
      </c>
      <c r="H63" s="12" t="s">
        <v>202</v>
      </c>
      <c r="I63" s="12" t="s">
        <v>203</v>
      </c>
    </row>
    <row r="64" customFormat="false" ht="15" hidden="false" customHeight="false" outlineLevel="0" collapsed="false">
      <c r="A64" s="10" t="s">
        <v>204</v>
      </c>
      <c r="B64" s="11"/>
      <c r="C64" s="11"/>
      <c r="D64" s="11"/>
      <c r="E64" s="11"/>
      <c r="F64" s="11"/>
      <c r="G64" s="11"/>
      <c r="H64" s="11"/>
      <c r="I64" s="11"/>
    </row>
    <row r="65" customFormat="false" ht="15" hidden="false" customHeight="false" outlineLevel="0" collapsed="false">
      <c r="A65" s="12" t="s">
        <v>205</v>
      </c>
      <c r="B65" s="12" t="s">
        <v>206</v>
      </c>
      <c r="C65" s="12" t="s">
        <v>69</v>
      </c>
      <c r="D65" s="13" t="s">
        <v>34</v>
      </c>
      <c r="E65" s="19" t="n">
        <f aca="false">IF(F65="","",F65)</f>
        <v>1</v>
      </c>
      <c r="F65" s="20" t="n">
        <v>1</v>
      </c>
      <c r="G65" s="19" t="n">
        <f aca="false">IF(F65="","",F65)</f>
        <v>1</v>
      </c>
      <c r="H65" s="12" t="s">
        <v>207</v>
      </c>
      <c r="I65" s="12" t="s">
        <v>208</v>
      </c>
    </row>
    <row r="66" customFormat="false" ht="15" hidden="false" customHeight="false" outlineLevel="0" collapsed="false">
      <c r="A66" s="12" t="s">
        <v>209</v>
      </c>
      <c r="B66" s="12" t="s">
        <v>210</v>
      </c>
      <c r="C66" s="12" t="s">
        <v>129</v>
      </c>
      <c r="D66" s="13" t="s">
        <v>34</v>
      </c>
      <c r="E66" s="37" t="n">
        <f aca="false">IF(F66="","",F66)</f>
        <v>3</v>
      </c>
      <c r="F66" s="38" t="n">
        <v>3</v>
      </c>
      <c r="G66" s="37" t="n">
        <f aca="false">IF(F66="","",F66)</f>
        <v>3</v>
      </c>
      <c r="H66" s="12" t="s">
        <v>207</v>
      </c>
      <c r="I66" s="12" t="s">
        <v>211</v>
      </c>
    </row>
    <row r="67" customFormat="false" ht="15" hidden="false" customHeight="false" outlineLevel="0" collapsed="false">
      <c r="A67" s="12" t="s">
        <v>212</v>
      </c>
      <c r="B67" s="12" t="s">
        <v>213</v>
      </c>
      <c r="C67" s="12" t="s">
        <v>214</v>
      </c>
      <c r="D67" s="13" t="s">
        <v>34</v>
      </c>
      <c r="E67" s="39" t="n">
        <v>20</v>
      </c>
      <c r="F67" s="38" t="n">
        <v>17.5</v>
      </c>
      <c r="G67" s="39" t="n">
        <v>15</v>
      </c>
      <c r="H67" s="12" t="s">
        <v>215</v>
      </c>
      <c r="I67" s="12" t="s">
        <v>216</v>
      </c>
    </row>
    <row r="68" customFormat="false" ht="15" hidden="false" customHeight="false" outlineLevel="0" collapsed="false">
      <c r="A68" s="12" t="s">
        <v>217</v>
      </c>
      <c r="B68" s="12" t="s">
        <v>218</v>
      </c>
      <c r="C68" s="12" t="s">
        <v>214</v>
      </c>
      <c r="D68" s="13" t="s">
        <v>34</v>
      </c>
      <c r="E68" s="39" t="n">
        <v>20</v>
      </c>
      <c r="F68" s="38" t="n">
        <v>17.5</v>
      </c>
      <c r="G68" s="39" t="n">
        <v>15</v>
      </c>
      <c r="H68" s="12" t="s">
        <v>215</v>
      </c>
      <c r="I68" s="12" t="s">
        <v>219</v>
      </c>
    </row>
    <row r="69" customFormat="false" ht="15" hidden="false" customHeight="false" outlineLevel="0" collapsed="false">
      <c r="A69" s="12" t="s">
        <v>220</v>
      </c>
      <c r="B69" s="12" t="s">
        <v>221</v>
      </c>
      <c r="C69" s="12" t="s">
        <v>214</v>
      </c>
      <c r="D69" s="13" t="s">
        <v>34</v>
      </c>
      <c r="E69" s="37" t="n">
        <f aca="false">IF(F69="","",F69)</f>
        <v>50</v>
      </c>
      <c r="F69" s="38" t="n">
        <v>50</v>
      </c>
      <c r="G69" s="37" t="n">
        <f aca="false">IF(F69="","",F69)</f>
        <v>50</v>
      </c>
      <c r="H69" s="12" t="s">
        <v>222</v>
      </c>
      <c r="I69" s="12" t="s">
        <v>223</v>
      </c>
    </row>
    <row r="70" customFormat="false" ht="35.05" hidden="false" customHeight="false" outlineLevel="0" collapsed="false">
      <c r="A70" s="12" t="s">
        <v>224</v>
      </c>
      <c r="B70" s="12" t="s">
        <v>225</v>
      </c>
      <c r="C70" s="12" t="s">
        <v>69</v>
      </c>
      <c r="D70" s="23" t="s">
        <v>70</v>
      </c>
      <c r="E70" s="19" t="n">
        <f aca="false">IF(F70="","",F70)</f>
        <v>2</v>
      </c>
      <c r="F70" s="24" t="n">
        <v>2</v>
      </c>
      <c r="G70" s="19" t="n">
        <f aca="false">IF(F70="","",F70)</f>
        <v>2</v>
      </c>
      <c r="H70" s="12" t="s">
        <v>226</v>
      </c>
      <c r="I70" s="12" t="s">
        <v>227</v>
      </c>
    </row>
    <row r="71" customFormat="false" ht="15" hidden="false" customHeight="false" outlineLevel="0" collapsed="false">
      <c r="A71" s="12" t="s">
        <v>228</v>
      </c>
      <c r="B71" s="12" t="s">
        <v>229</v>
      </c>
      <c r="C71" s="12" t="s">
        <v>230</v>
      </c>
      <c r="D71" s="21" t="s">
        <v>80</v>
      </c>
      <c r="E71" s="19" t="n">
        <f aca="false">IF(F71="","",F71)</f>
        <v>40</v>
      </c>
      <c r="F71" s="31" t="n">
        <v>40</v>
      </c>
      <c r="G71" s="19" t="n">
        <f aca="false">IF(F71="","",F71)</f>
        <v>40</v>
      </c>
      <c r="H71" s="12" t="s">
        <v>103</v>
      </c>
      <c r="I71" s="12" t="s">
        <v>231</v>
      </c>
    </row>
    <row r="72" customFormat="false" ht="15" hidden="false" customHeight="false" outlineLevel="0" collapsed="false">
      <c r="A72" s="12" t="s">
        <v>232</v>
      </c>
      <c r="B72" s="12" t="s">
        <v>233</v>
      </c>
      <c r="C72" s="12" t="s">
        <v>156</v>
      </c>
      <c r="D72" s="13" t="s">
        <v>22</v>
      </c>
      <c r="E72" s="16" t="n">
        <f aca="false">IF(F72="","",F72)</f>
        <v>20000000</v>
      </c>
      <c r="F72" s="17" t="n">
        <v>20000000</v>
      </c>
      <c r="G72" s="16" t="n">
        <f aca="false">IF(F72="","",F72)</f>
        <v>20000000</v>
      </c>
      <c r="H72" s="12" t="s">
        <v>234</v>
      </c>
      <c r="I72" s="12" t="s">
        <v>235</v>
      </c>
    </row>
    <row r="73" customFormat="false" ht="15" hidden="false" customHeight="false" outlineLevel="0" collapsed="false">
      <c r="A73" s="12" t="s">
        <v>236</v>
      </c>
      <c r="B73" s="12" t="s">
        <v>237</v>
      </c>
      <c r="C73" s="12" t="s">
        <v>156</v>
      </c>
      <c r="D73" s="13" t="s">
        <v>22</v>
      </c>
      <c r="E73" s="16" t="n">
        <f aca="false">IF(F73="","",F73)</f>
        <v>20000000</v>
      </c>
      <c r="F73" s="17" t="n">
        <v>20000000</v>
      </c>
      <c r="G73" s="16" t="n">
        <f aca="false">IF(F73="","",F73)</f>
        <v>20000000</v>
      </c>
      <c r="H73" s="12" t="s">
        <v>234</v>
      </c>
      <c r="I73" s="12"/>
    </row>
    <row r="74" customFormat="false" ht="15" hidden="false" customHeight="false" outlineLevel="0" collapsed="false">
      <c r="A74" s="12" t="s">
        <v>238</v>
      </c>
      <c r="B74" s="12" t="s">
        <v>239</v>
      </c>
      <c r="C74" s="12" t="s">
        <v>156</v>
      </c>
      <c r="D74" s="13" t="s">
        <v>22</v>
      </c>
      <c r="E74" s="16" t="n">
        <f aca="false">IF(F74="","",F74)</f>
        <v>5000000</v>
      </c>
      <c r="F74" s="17" t="n">
        <v>5000000</v>
      </c>
      <c r="G74" s="16" t="n">
        <f aca="false">IF(F74="","",F74)</f>
        <v>5000000</v>
      </c>
      <c r="H74" s="12" t="s">
        <v>234</v>
      </c>
      <c r="I74" s="12"/>
    </row>
    <row r="75" customFormat="false" ht="23.85" hidden="false" customHeight="false" outlineLevel="0" collapsed="false">
      <c r="A75" s="12" t="s">
        <v>240</v>
      </c>
      <c r="B75" s="12" t="s">
        <v>241</v>
      </c>
      <c r="C75" s="12" t="s">
        <v>21</v>
      </c>
      <c r="D75" s="13" t="s">
        <v>34</v>
      </c>
      <c r="E75" s="14" t="n">
        <f aca="false">IF(F75="","",F75)</f>
        <v>1</v>
      </c>
      <c r="F75" s="15" t="n">
        <v>1</v>
      </c>
      <c r="G75" s="14" t="n">
        <f aca="false">IF(F75="","",F75)</f>
        <v>1</v>
      </c>
      <c r="H75" s="12" t="s">
        <v>242</v>
      </c>
      <c r="I75" s="12" t="s">
        <v>243</v>
      </c>
    </row>
    <row r="76" customFormat="false" ht="15" hidden="false" customHeight="false" outlineLevel="0" collapsed="false">
      <c r="A76" s="12" t="s">
        <v>244</v>
      </c>
      <c r="B76" s="12" t="s">
        <v>245</v>
      </c>
      <c r="C76" s="12" t="s">
        <v>21</v>
      </c>
      <c r="D76" s="13" t="s">
        <v>34</v>
      </c>
      <c r="E76" s="14" t="n">
        <f aca="false">IF(F76="","",F76)</f>
        <v>1</v>
      </c>
      <c r="F76" s="15" t="n">
        <v>1</v>
      </c>
      <c r="G76" s="14" t="n">
        <f aca="false">IF(F76="","",F76)</f>
        <v>1</v>
      </c>
      <c r="H76" s="12" t="s">
        <v>242</v>
      </c>
      <c r="I76" s="12"/>
    </row>
    <row r="77" customFormat="false" ht="15" hidden="false" customHeight="false" outlineLevel="0" collapsed="false">
      <c r="A77" s="12" t="s">
        <v>246</v>
      </c>
      <c r="B77" s="12" t="s">
        <v>247</v>
      </c>
      <c r="C77" s="12" t="s">
        <v>21</v>
      </c>
      <c r="D77" s="13" t="s">
        <v>34</v>
      </c>
      <c r="E77" s="14" t="n">
        <f aca="false">IF(F77="","",F77)</f>
        <v>0.8</v>
      </c>
      <c r="F77" s="15" t="n">
        <v>0.8</v>
      </c>
      <c r="G77" s="14" t="n">
        <f aca="false">IF(F77="","",F77)</f>
        <v>0.8</v>
      </c>
      <c r="H77" s="12" t="s">
        <v>242</v>
      </c>
      <c r="I77" s="12" t="s">
        <v>248</v>
      </c>
    </row>
    <row r="78" customFormat="false" ht="15" hidden="false" customHeight="false" outlineLevel="0" collapsed="false">
      <c r="A78" s="10" t="s">
        <v>249</v>
      </c>
      <c r="B78" s="11"/>
      <c r="C78" s="11"/>
      <c r="D78" s="11"/>
      <c r="E78" s="11"/>
      <c r="F78" s="11"/>
      <c r="G78" s="11"/>
      <c r="H78" s="11"/>
      <c r="I78" s="11"/>
    </row>
    <row r="79" customFormat="false" ht="15" hidden="false" customHeight="false" outlineLevel="0" collapsed="false">
      <c r="A79" s="12" t="s">
        <v>250</v>
      </c>
      <c r="B79" s="12" t="s">
        <v>251</v>
      </c>
      <c r="C79" s="12" t="s">
        <v>33</v>
      </c>
      <c r="D79" s="13" t="s">
        <v>34</v>
      </c>
      <c r="E79" s="16" t="n">
        <f aca="false">IF(F79="","",F79)</f>
        <v>500000</v>
      </c>
      <c r="F79" s="17" t="n">
        <v>500000</v>
      </c>
      <c r="G79" s="16" t="n">
        <f aca="false">IF(F79="","",F79)</f>
        <v>500000</v>
      </c>
      <c r="H79" s="12" t="s">
        <v>252</v>
      </c>
      <c r="I79" s="12"/>
    </row>
    <row r="80" customFormat="false" ht="15" hidden="false" customHeight="false" outlineLevel="0" collapsed="false">
      <c r="A80" s="12" t="s">
        <v>253</v>
      </c>
      <c r="B80" s="12" t="s">
        <v>254</v>
      </c>
      <c r="C80" s="12" t="s">
        <v>33</v>
      </c>
      <c r="D80" s="13" t="s">
        <v>22</v>
      </c>
      <c r="E80" s="16" t="n">
        <f aca="false">IF(F80="","",F80)</f>
        <v>0</v>
      </c>
      <c r="F80" s="17" t="n">
        <v>0</v>
      </c>
      <c r="G80" s="16" t="n">
        <f aca="false">IF(F80="","",F80)</f>
        <v>0</v>
      </c>
      <c r="H80" s="12" t="s">
        <v>252</v>
      </c>
      <c r="I80" s="12" t="s">
        <v>255</v>
      </c>
    </row>
    <row r="81" customFormat="false" ht="15" hidden="false" customHeight="false" outlineLevel="0" collapsed="false">
      <c r="A81" s="12" t="s">
        <v>256</v>
      </c>
      <c r="B81" s="12" t="s">
        <v>257</v>
      </c>
      <c r="C81" s="12" t="s">
        <v>33</v>
      </c>
      <c r="D81" s="13" t="s">
        <v>22</v>
      </c>
      <c r="E81" s="16" t="n">
        <f aca="false">IF(F81="","",F81)</f>
        <v>0</v>
      </c>
      <c r="F81" s="17" t="n">
        <v>0</v>
      </c>
      <c r="G81" s="16" t="n">
        <f aca="false">IF(F81="","",F81)</f>
        <v>0</v>
      </c>
      <c r="H81" s="12" t="s">
        <v>252</v>
      </c>
      <c r="I81" s="12" t="s">
        <v>258</v>
      </c>
    </row>
    <row r="82" customFormat="false" ht="15" hidden="false" customHeight="false" outlineLevel="0" collapsed="false">
      <c r="A82" s="12" t="s">
        <v>259</v>
      </c>
      <c r="B82" s="12" t="s">
        <v>260</v>
      </c>
      <c r="C82" s="12" t="s">
        <v>33</v>
      </c>
      <c r="D82" s="13" t="s">
        <v>34</v>
      </c>
      <c r="E82" s="16" t="n">
        <f aca="false">IF(F82="","",F82)</f>
        <v>3000000</v>
      </c>
      <c r="F82" s="17" t="n">
        <v>3000000</v>
      </c>
      <c r="G82" s="16" t="n">
        <f aca="false">IF(F82="","",F82)</f>
        <v>3000000</v>
      </c>
      <c r="H82" s="12" t="s">
        <v>252</v>
      </c>
      <c r="I82" s="12"/>
    </row>
    <row r="83" customFormat="false" ht="15" hidden="false" customHeight="false" outlineLevel="0" collapsed="false">
      <c r="A83" s="12" t="s">
        <v>261</v>
      </c>
      <c r="B83" s="12" t="s">
        <v>262</v>
      </c>
      <c r="C83" s="12" t="s">
        <v>33</v>
      </c>
      <c r="D83" s="13" t="s">
        <v>34</v>
      </c>
      <c r="E83" s="16" t="n">
        <f aca="false">IF(F83="","",F83)</f>
        <v>1000000</v>
      </c>
      <c r="F83" s="17" t="n">
        <v>1000000</v>
      </c>
      <c r="G83" s="16" t="n">
        <f aca="false">IF(F83="","",F83)</f>
        <v>1000000</v>
      </c>
      <c r="H83" s="12" t="s">
        <v>168</v>
      </c>
      <c r="I83" s="12" t="s">
        <v>263</v>
      </c>
    </row>
    <row r="84" customFormat="false" ht="15" hidden="false" customHeight="false" outlineLevel="0" collapsed="false">
      <c r="A84" s="10" t="s">
        <v>264</v>
      </c>
      <c r="B84" s="11"/>
      <c r="C84" s="11"/>
      <c r="D84" s="11"/>
      <c r="E84" s="11"/>
      <c r="F84" s="11"/>
      <c r="G84" s="11"/>
      <c r="H84" s="11"/>
      <c r="I84" s="11"/>
    </row>
    <row r="85" customFormat="false" ht="23.85" hidden="false" customHeight="false" outlineLevel="0" collapsed="false">
      <c r="A85" s="12" t="s">
        <v>265</v>
      </c>
      <c r="B85" s="12" t="s">
        <v>266</v>
      </c>
      <c r="C85" s="12" t="s">
        <v>267</v>
      </c>
      <c r="D85" s="21" t="s">
        <v>80</v>
      </c>
      <c r="E85" s="40" t="n">
        <f aca="false">IF(F85="","",F85)</f>
        <v>-0.175</v>
      </c>
      <c r="F85" s="41" t="n">
        <v>-0.175</v>
      </c>
      <c r="G85" s="40" t="n">
        <f aca="false">IF(F85="","",F85)</f>
        <v>-0.175</v>
      </c>
      <c r="H85" s="12" t="s">
        <v>268</v>
      </c>
      <c r="I85" s="12" t="s">
        <v>269</v>
      </c>
    </row>
    <row r="87" customFormat="false" ht="15" hidden="false" customHeight="false" outlineLevel="0" collapsed="false">
      <c r="B87" s="2" t="s">
        <v>270</v>
      </c>
    </row>
  </sheetData>
  <dataValidations count="3">
    <dataValidation allowBlank="false" errorStyle="stop" operator="between" showDropDown="false" showErrorMessage="false" showInputMessage="false" sqref="F26 F65 F70" type="list">
      <formula1>"1,2,3"</formula1>
      <formula2>0</formula2>
    </dataValidation>
    <dataValidation allowBlank="false" errorStyle="stop" operator="between" showDropDown="false" showErrorMessage="false" showInputMessage="false" sqref="F37:F38" type="list">
      <formula1>"1,2"</formula1>
      <formula2>0</formula2>
    </dataValidation>
    <dataValidation allowBlank="false" errorStyle="stop" operator="between" showDropDown="false" showErrorMessage="false" showInputMessage="false" sqref="F22 F39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5"/>
    <col collapsed="false" customWidth="true" hidden="false" outlineLevel="0" max="3" min="3" style="0" width="48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271</v>
      </c>
    </row>
    <row r="2" customFormat="false" ht="15" hidden="false" customHeight="false" outlineLevel="0" collapsed="false">
      <c r="A2" s="2" t="s">
        <v>272</v>
      </c>
    </row>
    <row r="4" customFormat="false" ht="15" hidden="false" customHeight="false" outlineLevel="0" collapsed="false">
      <c r="A4" s="10" t="s">
        <v>9</v>
      </c>
      <c r="B4" s="10" t="s">
        <v>273</v>
      </c>
      <c r="C4" s="10" t="s">
        <v>274</v>
      </c>
      <c r="D4" s="10" t="s">
        <v>275</v>
      </c>
    </row>
    <row r="5" customFormat="false" ht="35.05" hidden="false" customHeight="false" outlineLevel="0" collapsed="false">
      <c r="A5" s="12" t="s">
        <v>276</v>
      </c>
      <c r="B5" s="12" t="s">
        <v>277</v>
      </c>
      <c r="C5" s="12" t="s">
        <v>278</v>
      </c>
      <c r="D5" s="12" t="s">
        <v>279</v>
      </c>
    </row>
    <row r="6" customFormat="false" ht="23.85" hidden="false" customHeight="false" outlineLevel="0" collapsed="false">
      <c r="A6" s="12" t="s">
        <v>280</v>
      </c>
      <c r="B6" s="12" t="s">
        <v>281</v>
      </c>
      <c r="C6" s="12" t="s">
        <v>282</v>
      </c>
      <c r="D6" s="12" t="s">
        <v>283</v>
      </c>
    </row>
    <row r="7" customFormat="false" ht="23.85" hidden="false" customHeight="false" outlineLevel="0" collapsed="false">
      <c r="A7" s="12" t="s">
        <v>284</v>
      </c>
      <c r="B7" s="12" t="s">
        <v>285</v>
      </c>
      <c r="C7" s="12" t="s">
        <v>286</v>
      </c>
      <c r="D7" s="12" t="s">
        <v>287</v>
      </c>
    </row>
    <row r="8" customFormat="false" ht="23.85" hidden="false" customHeight="false" outlineLevel="0" collapsed="false">
      <c r="A8" s="12" t="s">
        <v>288</v>
      </c>
      <c r="B8" s="12" t="s">
        <v>289</v>
      </c>
      <c r="C8" s="12" t="s">
        <v>290</v>
      </c>
      <c r="D8" s="12" t="s">
        <v>291</v>
      </c>
    </row>
    <row r="9" customFormat="false" ht="35.05" hidden="false" customHeight="false" outlineLevel="0" collapsed="false">
      <c r="A9" s="12" t="s">
        <v>292</v>
      </c>
      <c r="B9" s="12" t="s">
        <v>293</v>
      </c>
      <c r="C9" s="12" t="s">
        <v>294</v>
      </c>
      <c r="D9" s="12" t="s">
        <v>295</v>
      </c>
    </row>
    <row r="10" customFormat="false" ht="23.85" hidden="false" customHeight="false" outlineLevel="0" collapsed="false">
      <c r="A10" s="12" t="s">
        <v>296</v>
      </c>
      <c r="B10" s="12" t="s">
        <v>297</v>
      </c>
      <c r="C10" s="12" t="s">
        <v>298</v>
      </c>
      <c r="D10" s="12" t="s">
        <v>299</v>
      </c>
    </row>
    <row r="11" customFormat="false" ht="23.85" hidden="false" customHeight="false" outlineLevel="0" collapsed="false">
      <c r="A11" s="12" t="s">
        <v>300</v>
      </c>
      <c r="B11" s="12" t="s">
        <v>301</v>
      </c>
      <c r="C11" s="12" t="s">
        <v>302</v>
      </c>
      <c r="D11" s="12" t="s">
        <v>303</v>
      </c>
    </row>
    <row r="12" customFormat="false" ht="23.85" hidden="false" customHeight="false" outlineLevel="0" collapsed="false">
      <c r="A12" s="12" t="s">
        <v>304</v>
      </c>
      <c r="B12" s="12" t="s">
        <v>305</v>
      </c>
      <c r="C12" s="12" t="s">
        <v>306</v>
      </c>
      <c r="D12" s="12" t="s">
        <v>307</v>
      </c>
    </row>
    <row r="13" customFormat="false" ht="15" hidden="false" customHeight="false" outlineLevel="0" collapsed="false">
      <c r="A13" s="12" t="s">
        <v>308</v>
      </c>
      <c r="B13" s="12" t="s">
        <v>309</v>
      </c>
      <c r="C13" s="12" t="s">
        <v>310</v>
      </c>
      <c r="D13" s="12" t="s">
        <v>311</v>
      </c>
    </row>
    <row r="14" customFormat="false" ht="23.85" hidden="false" customHeight="false" outlineLevel="0" collapsed="false">
      <c r="A14" s="12" t="s">
        <v>312</v>
      </c>
      <c r="B14" s="12" t="s">
        <v>313</v>
      </c>
      <c r="C14" s="12" t="s">
        <v>314</v>
      </c>
      <c r="D14" s="12" t="s">
        <v>315</v>
      </c>
    </row>
    <row r="15" customFormat="false" ht="15" hidden="false" customHeight="false" outlineLevel="0" collapsed="false">
      <c r="A15" s="12" t="s">
        <v>316</v>
      </c>
      <c r="B15" s="12" t="s">
        <v>317</v>
      </c>
      <c r="C15" s="12" t="s">
        <v>318</v>
      </c>
      <c r="D15" s="12" t="s">
        <v>291</v>
      </c>
    </row>
    <row r="16" customFormat="false" ht="23.85" hidden="false" customHeight="false" outlineLevel="0" collapsed="false">
      <c r="A16" s="12" t="s">
        <v>319</v>
      </c>
      <c r="B16" s="12" t="s">
        <v>320</v>
      </c>
      <c r="C16" s="12" t="s">
        <v>321</v>
      </c>
      <c r="D16" s="12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4"/>
    <col collapsed="false" customWidth="true" hidden="false" outlineLevel="0" max="5" min="3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323</v>
      </c>
    </row>
    <row r="2" customFormat="false" ht="15" hidden="false" customHeight="false" outlineLevel="0" collapsed="false">
      <c r="A2" s="2" t="s">
        <v>324</v>
      </c>
    </row>
    <row r="4" customFormat="false" ht="15" hidden="false" customHeight="false" outlineLevel="0" collapsed="false">
      <c r="B4" s="42" t="s">
        <v>325</v>
      </c>
      <c r="C4" s="43" t="s">
        <v>13</v>
      </c>
      <c r="D4" s="43" t="s">
        <v>14</v>
      </c>
      <c r="E4" s="43" t="s">
        <v>15</v>
      </c>
      <c r="F4" s="43" t="s">
        <v>326</v>
      </c>
    </row>
    <row r="5" customFormat="false" ht="15" hidden="false" customHeight="false" outlineLevel="0" collapsed="false">
      <c r="B5" s="44" t="s">
        <v>327</v>
      </c>
      <c r="C5" s="45"/>
      <c r="D5" s="45"/>
      <c r="E5" s="45"/>
      <c r="F5" s="45"/>
    </row>
    <row r="6" customFormat="false" ht="15" hidden="false" customHeight="false" outlineLevel="0" collapsed="false">
      <c r="B6" s="46" t="s">
        <v>328</v>
      </c>
      <c r="C6" s="47" t="n">
        <f aca="false">N('Входные данные'!$E$20)</f>
        <v>1020000</v>
      </c>
      <c r="D6" s="47" t="n">
        <f aca="false">N('Входные данные'!$F$20)</f>
        <v>1020000</v>
      </c>
      <c r="E6" s="47" t="n">
        <f aca="false">N('Входные данные'!$G$20)</f>
        <v>1020000</v>
      </c>
      <c r="F6" s="48" t="s">
        <v>329</v>
      </c>
    </row>
    <row r="7" customFormat="false" ht="15" hidden="false" customHeight="false" outlineLevel="0" collapsed="false">
      <c r="B7" s="46" t="s">
        <v>330</v>
      </c>
      <c r="C7" s="47" t="n">
        <f aca="false">IF(N('Входные данные'!$E$22)=1,'Юнит-экономика'!$C$6-'Юнит-экономика'!$C$6/(1+N('Входные данные'!$E$23)),0)</f>
        <v>0</v>
      </c>
      <c r="D7" s="47" t="n">
        <f aca="false">IF(N('Входные данные'!$F$22)=1,'Юнит-экономика'!$D$6-'Юнит-экономика'!$D$6/(1+N('Входные данные'!$F$23)),0)</f>
        <v>0</v>
      </c>
      <c r="E7" s="47" t="n">
        <f aca="false">IF(N('Входные данные'!$G$22)=1,'Юнит-экономика'!$E$6-'Юнит-экономика'!$E$6/(1+N('Входные данные'!$G$23)),0)</f>
        <v>0</v>
      </c>
      <c r="F7" s="48" t="s">
        <v>331</v>
      </c>
    </row>
    <row r="8" customFormat="false" ht="15" hidden="false" customHeight="false" outlineLevel="0" collapsed="false">
      <c r="B8" s="3" t="s">
        <v>332</v>
      </c>
      <c r="C8" s="49" t="n">
        <f aca="false">'Юнит-экономика'!$C$6-'Юнит-экономика'!$C$7</f>
        <v>1020000</v>
      </c>
      <c r="D8" s="49" t="n">
        <f aca="false">'Юнит-экономика'!$D$6-'Юнит-экономика'!$D$7</f>
        <v>1020000</v>
      </c>
      <c r="E8" s="49" t="n">
        <f aca="false">'Юнит-экономика'!$E$6-'Юнит-экономика'!$E$7</f>
        <v>1020000</v>
      </c>
    </row>
    <row r="9" customFormat="false" ht="15" hidden="false" customHeight="false" outlineLevel="0" collapsed="false">
      <c r="B9" s="46" t="s">
        <v>333</v>
      </c>
      <c r="C9" s="47" t="n">
        <f aca="false">N('Входные данные'!$E$29)+N('Входные данные'!$E$30)+N('Входные данные'!$E$31)+N('Входные данные'!$E$32)+N('Входные данные'!$E$33)+N('Входные данные'!$E$34)+N('Входные данные'!$E$35)</f>
        <v>300000</v>
      </c>
      <c r="D9" s="47" t="n">
        <f aca="false">N('Входные данные'!$F$29)+N('Входные данные'!$F$30)+N('Входные данные'!$F$31)+N('Входные данные'!$F$32)+N('Входные данные'!$F$33)+N('Входные данные'!$F$34)+N('Входные данные'!$F$35)</f>
        <v>300000</v>
      </c>
      <c r="E9" s="47" t="n">
        <f aca="false">N('Входные данные'!$G$29)+N('Входные данные'!$G$30)+N('Входные данные'!$G$31)+N('Входные данные'!$G$32)+N('Входные данные'!$G$33)+N('Входные данные'!$G$34)+N('Входные данные'!$G$35)</f>
        <v>300000</v>
      </c>
      <c r="F9" s="48" t="s">
        <v>334</v>
      </c>
    </row>
    <row r="10" customFormat="false" ht="15" hidden="false" customHeight="false" outlineLevel="0" collapsed="false">
      <c r="B10" s="46" t="s">
        <v>335</v>
      </c>
      <c r="C10" s="47" t="n">
        <f aca="false">IF(N('Входные данные'!$E$26)=1,'Юнит-экономика'!$C$8*N('Входные данные'!$E$28),N('Входные данные'!$E$27))</f>
        <v>300000</v>
      </c>
      <c r="D10" s="47" t="n">
        <f aca="false">IF(N('Входные данные'!$F$26)=1,'Юнит-экономика'!$D$8*N('Входные данные'!$F$28),N('Входные данные'!$F$27))</f>
        <v>400000</v>
      </c>
      <c r="E10" s="47" t="n">
        <f aca="false">IF(N('Входные данные'!$G$26)=1,'Юнит-экономика'!$E$8*N('Входные данные'!$G$28),N('Входные данные'!$G$27))</f>
        <v>700000</v>
      </c>
      <c r="F10" s="48" t="s">
        <v>336</v>
      </c>
    </row>
    <row r="11" customFormat="false" ht="15" hidden="false" customHeight="false" outlineLevel="0" collapsed="false">
      <c r="B11" s="46" t="s">
        <v>337</v>
      </c>
      <c r="C11" s="47" t="n">
        <f aca="false">IF(N('Входные данные'!$E$26)=2,'Юнит-экономика'!$C$9,'Юнит-экономика'!$C$8-'Юнит-экономика'!$C$10)</f>
        <v>720000</v>
      </c>
      <c r="D11" s="47" t="n">
        <f aca="false">IF(N('Входные данные'!$F$26)=2,'Юнит-экономика'!$D$9,'Юнит-экономика'!$D$8-'Юнит-экономика'!$D$10)</f>
        <v>620000</v>
      </c>
      <c r="E11" s="47" t="n">
        <f aca="false">IF(N('Входные данные'!$G$26)=2,'Юнит-экономика'!$E$9,'Юнит-экономика'!$E$8-'Юнит-экономика'!$E$10)</f>
        <v>320000</v>
      </c>
      <c r="F11" s="48" t="s">
        <v>338</v>
      </c>
    </row>
    <row r="12" customFormat="false" ht="15" hidden="false" customHeight="false" outlineLevel="0" collapsed="false">
      <c r="B12" s="3" t="s">
        <v>339</v>
      </c>
      <c r="C12" s="49" t="n">
        <f aca="false">'Юнит-экономика'!$C$8-'Юнит-экономика'!$C$11</f>
        <v>300000</v>
      </c>
      <c r="D12" s="49" t="n">
        <f aca="false">'Юнит-экономика'!$D$8-'Юнит-экономика'!$D$11</f>
        <v>400000</v>
      </c>
      <c r="E12" s="49" t="n">
        <f aca="false">'Юнит-экономика'!$E$8-'Юнит-экономика'!$E$11</f>
        <v>700000</v>
      </c>
    </row>
    <row r="13" customFormat="false" ht="15" hidden="false" customHeight="false" outlineLevel="0" collapsed="false">
      <c r="B13" s="46" t="s">
        <v>340</v>
      </c>
      <c r="C13" s="50" t="n">
        <f aca="false">IF('Юнит-экономика'!$C$8&gt;0,'Юнит-экономика'!$C$12/'Юнит-экономика'!$C$8,0)</f>
        <v>0.294117647058824</v>
      </c>
      <c r="D13" s="50" t="n">
        <f aca="false">IF('Юнит-экономика'!$D$8&gt;0,'Юнит-экономика'!$D$12/'Юнит-экономика'!$D$8,0)</f>
        <v>0.392156862745098</v>
      </c>
      <c r="E13" s="50" t="n">
        <f aca="false">IF('Юнит-экономика'!$E$8&gt;0,'Юнит-экономика'!$E$12/'Юнит-экономика'!$E$8,0)</f>
        <v>0.686274509803922</v>
      </c>
    </row>
    <row r="14" customFormat="false" ht="15" hidden="false" customHeight="false" outlineLevel="0" collapsed="false">
      <c r="B14" s="46" t="s">
        <v>341</v>
      </c>
      <c r="C14" s="47" t="str">
        <f aca="false">IF(N('Входные данные'!$E$26)=2,IF('Юнит-экономика'!$C$9=0,"НЕТ ДАННЫХ: строки пусты","построчно"),IF(N('Входные данные'!$E$26)=3,"средняя со слов владельца [проверить]","процент владельца [проверить]"))</f>
        <v>средняя со слов владельца [проверить]</v>
      </c>
      <c r="D14" s="47" t="str">
        <f aca="false">IF(N('Входные данные'!$F$26)=2,IF('Юнит-экономика'!$D$9=0,"НЕТ ДАННЫХ: строки пусты","построчно"),IF(N('Входные данные'!$F$26)=3,"средняя со слов владельца [проверить]","процент владельца [проверить]"))</f>
        <v>средняя со слов владельца [проверить]</v>
      </c>
      <c r="E14" s="47" t="str">
        <f aca="false">IF(N('Входные данные'!$G$26)=2,IF('Юнит-экономика'!$E$9=0,"НЕТ ДАННЫХ: строки пусты","построчно"),IF(N('Входные данные'!$G$26)=3,"средняя со слов владельца [проверить]","процент владельца [проверить]"))</f>
        <v>средняя со слов владельца [проверить]</v>
      </c>
    </row>
    <row r="15" customFormat="false" ht="23.85" hidden="false" customHeight="false" outlineLevel="0" collapsed="false">
      <c r="B15" s="46" t="s">
        <v>342</v>
      </c>
      <c r="C15" s="47" t="n">
        <f aca="false">'Юнит-экономика'!$C$8-'Юнит-экономика'!$C$9</f>
        <v>720000</v>
      </c>
      <c r="D15" s="47" t="n">
        <f aca="false">'Юнит-экономика'!$D$8-'Юнит-экономика'!$D$9</f>
        <v>720000</v>
      </c>
      <c r="E15" s="47" t="n">
        <f aca="false">'Юнит-экономика'!$E$8-'Юнит-экономика'!$E$9</f>
        <v>720000</v>
      </c>
      <c r="F15" s="48" t="s">
        <v>343</v>
      </c>
    </row>
    <row r="16" customFormat="false" ht="23.85" hidden="false" customHeight="false" outlineLevel="0" collapsed="false">
      <c r="B16" s="46" t="s">
        <v>344</v>
      </c>
      <c r="C16" s="47" t="n">
        <f aca="false">'Юнит-экономика'!$C$15-'Юнит-экономика'!$C$10</f>
        <v>420000</v>
      </c>
      <c r="D16" s="47" t="n">
        <f aca="false">'Юнит-экономика'!$D$15-'Юнит-экономика'!$D$10</f>
        <v>320000</v>
      </c>
      <c r="E16" s="47" t="n">
        <f aca="false">'Юнит-экономика'!$E$15-'Юнит-экономика'!$E$10</f>
        <v>20000</v>
      </c>
      <c r="F16" s="48" t="s">
        <v>345</v>
      </c>
    </row>
    <row r="18" customFormat="false" ht="15" hidden="false" customHeight="false" outlineLevel="0" collapsed="false">
      <c r="B18" s="44" t="s">
        <v>346</v>
      </c>
      <c r="C18" s="45"/>
      <c r="D18" s="45"/>
      <c r="E18" s="45"/>
      <c r="F18" s="45"/>
    </row>
    <row r="19" customFormat="false" ht="15" hidden="false" customHeight="false" outlineLevel="0" collapsed="false">
      <c r="B19" s="46" t="s">
        <v>347</v>
      </c>
      <c r="C19" s="47" t="n">
        <f aca="false">N('Входные данные'!$E$46)*'Юнит-экономика'!$C$8</f>
        <v>102000</v>
      </c>
      <c r="D19" s="47" t="n">
        <f aca="false">N('Входные данные'!$F$46)*'Юнит-экономика'!$D$8</f>
        <v>102000</v>
      </c>
      <c r="E19" s="47" t="n">
        <f aca="false">N('Входные данные'!$G$46)*'Юнит-экономика'!$E$8</f>
        <v>102000</v>
      </c>
      <c r="F19" s="48" t="s">
        <v>348</v>
      </c>
    </row>
    <row r="20" customFormat="false" ht="15" hidden="false" customHeight="false" outlineLevel="0" collapsed="false">
      <c r="B20" s="46" t="s">
        <v>349</v>
      </c>
      <c r="C20" s="47" t="n">
        <f aca="false">'Юнит-экономика'!$C$12-'Юнит-экономика'!$C$19</f>
        <v>198000</v>
      </c>
      <c r="D20" s="47" t="n">
        <f aca="false">'Юнит-экономика'!$D$12-'Юнит-экономика'!$D$19</f>
        <v>298000</v>
      </c>
      <c r="E20" s="47" t="n">
        <f aca="false">'Юнит-экономика'!$E$12-'Юнит-экономика'!$E$19</f>
        <v>598000</v>
      </c>
    </row>
    <row r="21" customFormat="false" ht="15" hidden="false" customHeight="false" outlineLevel="0" collapsed="false">
      <c r="B21" s="46" t="s">
        <v>350</v>
      </c>
      <c r="C21" s="50" t="n">
        <f aca="false">IF('Юнит-экономика'!$C$12&gt;0,'Юнит-экономика'!$C$19/'Юнит-экономика'!$C$12,0)</f>
        <v>0.34</v>
      </c>
      <c r="D21" s="50" t="n">
        <f aca="false">IF('Юнит-экономика'!$D$12&gt;0,'Юнит-экономика'!$D$19/'Юнит-экономика'!$D$12,0)</f>
        <v>0.255</v>
      </c>
      <c r="E21" s="50" t="n">
        <f aca="false">IF('Юнит-экономика'!$E$12&gt;0,'Юнит-экономика'!$E$19/'Юнит-экономика'!$E$12,0)</f>
        <v>0.145714285714286</v>
      </c>
    </row>
    <row r="22" customFormat="false" ht="15" hidden="false" customHeight="false" outlineLevel="0" collapsed="false">
      <c r="B22" s="46" t="s">
        <v>351</v>
      </c>
      <c r="C22" s="47" t="n">
        <f aca="false">N('Входные данные'!$E$45)*'Юнит-экономика'!$C$19</f>
        <v>0</v>
      </c>
      <c r="D22" s="47" t="n">
        <f aca="false">N('Входные данные'!$F$45)*'Юнит-экономика'!$D$19</f>
        <v>0</v>
      </c>
      <c r="E22" s="47" t="n">
        <f aca="false">N('Входные данные'!$G$45)*'Юнит-экономика'!$E$19</f>
        <v>0</v>
      </c>
      <c r="F22" s="48" t="s">
        <v>352</v>
      </c>
    </row>
    <row r="23" customFormat="false" ht="15" hidden="false" customHeight="false" outlineLevel="0" collapsed="false">
      <c r="B23" s="3" t="s">
        <v>353</v>
      </c>
      <c r="C23" s="49" t="n">
        <f aca="false">'Юнит-экономика'!$C$12-'Юнит-экономика'!$C$22</f>
        <v>300000</v>
      </c>
      <c r="D23" s="49" t="n">
        <f aca="false">'Юнит-экономика'!$D$12-'Юнит-экономика'!$D$22</f>
        <v>400000</v>
      </c>
      <c r="E23" s="49" t="n">
        <f aca="false">'Юнит-экономика'!$E$12-'Юнит-экономика'!$E$22</f>
        <v>700000</v>
      </c>
      <c r="F23" s="48" t="s">
        <v>354</v>
      </c>
    </row>
    <row r="25" customFormat="false" ht="15" hidden="false" customHeight="false" outlineLevel="0" collapsed="false">
      <c r="B25" s="44" t="s">
        <v>355</v>
      </c>
      <c r="C25" s="45"/>
      <c r="D25" s="45"/>
      <c r="E25" s="45"/>
      <c r="F25" s="45"/>
    </row>
    <row r="26" customFormat="false" ht="15" hidden="false" customHeight="false" outlineLevel="0" collapsed="false">
      <c r="B26" s="46" t="s">
        <v>356</v>
      </c>
      <c r="C26" s="47" t="n">
        <f aca="false">N('Входные данные'!$E$39)*N('Входные данные'!$E$40)*'Юнит-экономика'!$C$8</f>
        <v>102000</v>
      </c>
      <c r="D26" s="47" t="n">
        <f aca="false">N('Входные данные'!$F$39)*N('Входные данные'!$F$40)*'Юнит-экономика'!$D$8</f>
        <v>102000</v>
      </c>
      <c r="E26" s="47" t="n">
        <f aca="false">N('Входные данные'!$G$39)*N('Входные данные'!$G$40)*'Юнит-экономика'!$E$8</f>
        <v>102000</v>
      </c>
      <c r="F26" s="48" t="s">
        <v>357</v>
      </c>
    </row>
    <row r="27" customFormat="false" ht="15" hidden="false" customHeight="false" outlineLevel="0" collapsed="false">
      <c r="B27" s="46" t="s">
        <v>358</v>
      </c>
      <c r="C27" s="47" t="n">
        <f aca="false">N('Входные данные'!$E$40)*N('Входные данные'!$E$43)</f>
        <v>100000</v>
      </c>
      <c r="D27" s="47" t="n">
        <f aca="false">N('Входные данные'!$F$40)*N('Входные данные'!$F$43)</f>
        <v>100000</v>
      </c>
      <c r="E27" s="47" t="n">
        <f aca="false">N('Входные данные'!$G$40)*N('Входные данные'!$G$43)</f>
        <v>100000</v>
      </c>
      <c r="F27" s="48" t="s">
        <v>359</v>
      </c>
    </row>
    <row r="28" customFormat="false" ht="15" hidden="false" customHeight="false" outlineLevel="0" collapsed="false">
      <c r="B28" s="46" t="s">
        <v>360</v>
      </c>
      <c r="C28" s="47" t="n">
        <f aca="false">'Юнит-экономика'!$C$23-'Юнит-экономика'!$C$26</f>
        <v>198000</v>
      </c>
      <c r="D28" s="47" t="n">
        <f aca="false">'Юнит-экономика'!$D$23-'Юнит-экономика'!$D$26</f>
        <v>298000</v>
      </c>
      <c r="E28" s="47" t="n">
        <f aca="false">'Юнит-экономика'!$E$23-'Юнит-экономика'!$E$26</f>
        <v>598000</v>
      </c>
    </row>
    <row r="29" customFormat="false" ht="15" hidden="false" customHeight="false" outlineLevel="0" collapsed="false">
      <c r="B29" s="46" t="s">
        <v>361</v>
      </c>
      <c r="C29" s="47" t="n">
        <f aca="false">'Юнит-экономика'!$C$26+N('Входные данные'!$E$44)*'Юнит-экономика'!$C$28</f>
        <v>102000</v>
      </c>
      <c r="D29" s="47" t="n">
        <f aca="false">'Юнит-экономика'!$D$26+N('Входные данные'!$F$44)*'Юнит-экономика'!$D$28</f>
        <v>102000</v>
      </c>
      <c r="E29" s="47" t="n">
        <f aca="false">'Юнит-экономика'!$E$26+N('Входные данные'!$G$44)*'Юнит-экономика'!$E$28</f>
        <v>102000</v>
      </c>
      <c r="F29" s="48" t="s">
        <v>362</v>
      </c>
    </row>
    <row r="30" customFormat="false" ht="15" hidden="false" customHeight="false" outlineLevel="0" collapsed="false">
      <c r="B30" s="46" t="s">
        <v>363</v>
      </c>
      <c r="C30" s="47" t="n">
        <f aca="false">'Юнит-экономика'!$C$23</f>
        <v>300000</v>
      </c>
      <c r="D30" s="47" t="n">
        <f aca="false">'Юнит-экономика'!$D$23</f>
        <v>400000</v>
      </c>
      <c r="E30" s="47" t="n">
        <f aca="false">'Юнит-экономика'!$E$23</f>
        <v>700000</v>
      </c>
    </row>
    <row r="31" customFormat="false" ht="15" hidden="false" customHeight="false" outlineLevel="0" collapsed="false">
      <c r="B31" s="46" t="s">
        <v>364</v>
      </c>
      <c r="C31" s="47" t="n">
        <f aca="false">'Юнит-экономика'!$C$29</f>
        <v>102000</v>
      </c>
      <c r="D31" s="47" t="n">
        <f aca="false">'Юнит-экономика'!$D$29</f>
        <v>102000</v>
      </c>
      <c r="E31" s="47" t="n">
        <f aca="false">'Юнит-экономика'!$E$29</f>
        <v>102000</v>
      </c>
    </row>
    <row r="32" customFormat="false" ht="15" hidden="false" customHeight="false" outlineLevel="0" collapsed="false">
      <c r="B32" s="46" t="s">
        <v>365</v>
      </c>
      <c r="C32" s="47" t="n">
        <f aca="false">(1-N('Входные данные'!$E$41))*'Юнит-экономика'!$C$23+N('Входные данные'!$E$41)*'Юнит-экономика'!$C$27</f>
        <v>160000</v>
      </c>
      <c r="D32" s="47" t="n">
        <f aca="false">(1-N('Входные данные'!$F$41))*'Юнит-экономика'!$D$23+N('Входные данные'!$F$41)*'Юнит-экономика'!$D$27</f>
        <v>190000</v>
      </c>
      <c r="E32" s="47" t="n">
        <f aca="false">(1-N('Входные данные'!$G$41))*'Юнит-экономика'!$E$23+N('Входные данные'!$G$41)*'Юнит-экономика'!$E$27</f>
        <v>280000</v>
      </c>
      <c r="F32" s="48" t="s">
        <v>366</v>
      </c>
    </row>
    <row r="33" customFormat="false" ht="15" hidden="false" customHeight="false" outlineLevel="0" collapsed="false">
      <c r="B33" s="46" t="s">
        <v>367</v>
      </c>
      <c r="C33" s="47" t="n">
        <f aca="false">(1-N('Входные данные'!$E$41))*'Юнит-экономика'!$C$29+N('Входные данные'!$E$41)*'Юнит-экономика'!$C$27</f>
        <v>100600</v>
      </c>
      <c r="D33" s="47" t="n">
        <f aca="false">(1-N('Входные данные'!$F$41))*'Юнит-экономика'!$D$29+N('Входные данные'!$F$41)*'Юнит-экономика'!$D$27</f>
        <v>100600</v>
      </c>
      <c r="E33" s="47" t="n">
        <f aca="false">(1-N('Входные данные'!$G$41))*'Юнит-экономика'!$E$29+N('Входные данные'!$G$41)*'Юнит-экономика'!$E$27</f>
        <v>100600</v>
      </c>
    </row>
    <row r="34" customFormat="false" ht="15" hidden="false" customHeight="false" outlineLevel="0" collapsed="false">
      <c r="B34" s="3" t="s">
        <v>368</v>
      </c>
      <c r="C34" s="49" t="n">
        <f aca="false">IF(N('Входные данные'!$E$37)=2,'Юнит-экономика'!$C$32,'Юнит-экономика'!$C$30)</f>
        <v>160000</v>
      </c>
      <c r="D34" s="49" t="n">
        <f aca="false">IF(N('Входные данные'!$F$37)=2,'Юнит-экономика'!$D$32,'Юнит-экономика'!$D$30)</f>
        <v>190000</v>
      </c>
      <c r="E34" s="49" t="n">
        <f aca="false">IF(N('Входные данные'!$G$37)=2,'Юнит-экономика'!$E$32,'Юнит-экономика'!$E$30)</f>
        <v>280000</v>
      </c>
      <c r="F34" s="48" t="s">
        <v>369</v>
      </c>
    </row>
    <row r="35" customFormat="false" ht="15" hidden="false" customHeight="false" outlineLevel="0" collapsed="false">
      <c r="B35" s="3" t="s">
        <v>370</v>
      </c>
      <c r="C35" s="49" t="n">
        <f aca="false">IF(N('Входные данные'!$E$37)=2,'Юнит-экономика'!$C$33,'Юнит-экономика'!$C$31)</f>
        <v>100600</v>
      </c>
      <c r="D35" s="49" t="n">
        <f aca="false">IF(N('Входные данные'!$F$37)=2,'Юнит-экономика'!$D$33,'Юнит-экономика'!$D$31)</f>
        <v>100600</v>
      </c>
      <c r="E35" s="49" t="n">
        <f aca="false">IF(N('Входные данные'!$G$37)=2,'Юнит-экономика'!$E$33,'Юнит-экономика'!$E$31)</f>
        <v>100600</v>
      </c>
      <c r="F35" s="48" t="s">
        <v>371</v>
      </c>
    </row>
    <row r="37" customFormat="false" ht="15" hidden="false" customHeight="false" outlineLevel="0" collapsed="false">
      <c r="B37" s="44" t="s">
        <v>372</v>
      </c>
      <c r="C37" s="45"/>
      <c r="D37" s="45"/>
      <c r="E37" s="45"/>
      <c r="F37" s="45"/>
    </row>
    <row r="38" customFormat="false" ht="15" hidden="false" customHeight="false" outlineLevel="0" collapsed="false">
      <c r="B38" s="3" t="s">
        <v>373</v>
      </c>
      <c r="C38" s="49" t="n">
        <f aca="false">N('Входные данные'!$E$49)*MAX(0,'Юнит-экономика'!$C$34)</f>
        <v>32000</v>
      </c>
      <c r="D38" s="49" t="n">
        <f aca="false">N('Входные данные'!$F$49)*MAX(0,'Юнит-экономика'!$D$34)</f>
        <v>38000</v>
      </c>
      <c r="E38" s="49" t="n">
        <f aca="false">N('Входные данные'!$G$49)*MAX(0,'Юнит-экономика'!$E$34)</f>
        <v>56000</v>
      </c>
      <c r="F38" s="48" t="s">
        <v>374</v>
      </c>
    </row>
    <row r="39" customFormat="false" ht="15" hidden="false" customHeight="false" outlineLevel="0" collapsed="false">
      <c r="B39" s="46" t="s">
        <v>375</v>
      </c>
      <c r="C39" s="47" t="n">
        <f aca="false">N('Входные данные'!$E$49)*MAX(0,'Юнит-экономика'!$C$35)</f>
        <v>20120</v>
      </c>
      <c r="D39" s="47" t="n">
        <f aca="false">N('Входные данные'!$F$49)*MAX(0,'Юнит-экономика'!$D$35)</f>
        <v>20120</v>
      </c>
      <c r="E39" s="47" t="n">
        <f aca="false">N('Входные данные'!$G$49)*MAX(0,'Юнит-экономика'!$E$35)</f>
        <v>20120</v>
      </c>
      <c r="F39" s="48" t="s">
        <v>376</v>
      </c>
    </row>
    <row r="40" customFormat="false" ht="15" hidden="false" customHeight="false" outlineLevel="0" collapsed="false">
      <c r="B40" s="46" t="s">
        <v>377</v>
      </c>
      <c r="C40" s="47" t="n">
        <f aca="false">'Юнит-экономика'!$C$38*N('Входные данные'!$E$58)</f>
        <v>1600</v>
      </c>
      <c r="D40" s="47" t="n">
        <f aca="false">'Юнит-экономика'!$D$38*N('Входные данные'!$F$58)</f>
        <v>1900</v>
      </c>
      <c r="E40" s="47" t="n">
        <f aca="false">'Юнит-экономика'!$E$38*N('Входные данные'!$G$58)</f>
        <v>2800</v>
      </c>
    </row>
    <row r="41" customFormat="false" ht="23.85" hidden="false" customHeight="false" outlineLevel="0" collapsed="false">
      <c r="B41" s="46" t="s">
        <v>378</v>
      </c>
      <c r="C41" s="47" t="n">
        <f aca="false">'Юнит-экономика'!$C$38*N('Входные данные'!$E$57)*N('Входные данные'!$E$58)*N('Входные данные'!$E$59)</f>
        <v>216</v>
      </c>
      <c r="D41" s="47" t="n">
        <f aca="false">'Юнит-экономика'!$D$38*N('Входные данные'!$F$57)*N('Входные данные'!$F$58)*N('Входные данные'!$F$59)</f>
        <v>342</v>
      </c>
      <c r="E41" s="47" t="n">
        <f aca="false">'Юнит-экономика'!$E$38*N('Входные данные'!$G$57)*N('Входные данные'!$G$58)*N('Входные данные'!$G$59)</f>
        <v>630</v>
      </c>
      <c r="F41" s="48" t="s">
        <v>379</v>
      </c>
    </row>
    <row r="42" customFormat="false" ht="15" hidden="false" customHeight="false" outlineLevel="0" collapsed="false">
      <c r="B42" s="46" t="s">
        <v>380</v>
      </c>
      <c r="C42" s="51" t="n">
        <f aca="false">IF(N('Входные данные'!$E$24)&gt;0,'Юнит-экономика'!$C$41/N('Входные данные'!$E$24),0)</f>
        <v>0.018</v>
      </c>
      <c r="D42" s="51" t="n">
        <f aca="false">IF(N('Входные данные'!$F$24)&gt;0,'Юнит-экономика'!$D$41/N('Входные данные'!$F$24),0)</f>
        <v>0.0285</v>
      </c>
      <c r="E42" s="51" t="n">
        <f aca="false">IF(N('Входные данные'!$G$24)&gt;0,'Юнит-экономика'!$E$41/N('Входные данные'!$G$24),0)</f>
        <v>0.0525</v>
      </c>
    </row>
    <row r="43" customFormat="false" ht="23.85" hidden="false" customHeight="false" outlineLevel="0" collapsed="false">
      <c r="B43" s="46" t="s">
        <v>381</v>
      </c>
      <c r="C43" s="52" t="n">
        <f aca="false">IF(AND('Юнит-экономика'!$C$20&gt;0,N('Входные данные'!$E$49)&gt;0),'Юнит-экономика'!$C$19/(N('Входные данные'!$E$49)*'Юнит-экономика'!$C$20),"н/д")</f>
        <v>2.57575757575758</v>
      </c>
      <c r="D43" s="52" t="n">
        <f aca="false">IF(AND('Юнит-экономика'!$D$20&gt;0,N('Входные данные'!$F$49)&gt;0),'Юнит-экономика'!$D$19/(N('Входные данные'!$F$49)*'Юнит-экономика'!$D$20),"н/д")</f>
        <v>1.71140939597315</v>
      </c>
      <c r="E43" s="52" t="n">
        <f aca="false">IF(AND('Юнит-экономика'!$E$20&gt;0,N('Входные данные'!$G$49)&gt;0),'Юнит-экономика'!$E$19/(N('Входные данные'!$G$49)*'Юнит-экономика'!$E$20),"н/д")</f>
        <v>0.852842809364549</v>
      </c>
      <c r="F43" s="48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4"/>
    <col collapsed="false" customWidth="true" hidden="false" outlineLevel="0" max="5" min="3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383</v>
      </c>
    </row>
    <row r="2" customFormat="false" ht="15" hidden="false" customHeight="false" outlineLevel="0" collapsed="false">
      <c r="A2" s="2" t="s">
        <v>384</v>
      </c>
    </row>
    <row r="4" customFormat="false" ht="15" hidden="false" customHeight="false" outlineLevel="0" collapsed="false">
      <c r="B4" s="42" t="s">
        <v>325</v>
      </c>
      <c r="C4" s="43" t="s">
        <v>13</v>
      </c>
      <c r="D4" s="43" t="s">
        <v>14</v>
      </c>
      <c r="E4" s="43" t="s">
        <v>15</v>
      </c>
      <c r="F4" s="43" t="s">
        <v>326</v>
      </c>
    </row>
    <row r="5" customFormat="false" ht="15" hidden="false" customHeight="false" outlineLevel="0" collapsed="false">
      <c r="B5" s="46" t="s">
        <v>385</v>
      </c>
      <c r="C5" s="47" t="str">
        <f aca="false">IF(N('Входные данные'!$E$56)&gt;0,N('Входные данные'!$E$55)/N('Входные данные'!$E$56),"нужно измерить")</f>
        <v>нужно измерить</v>
      </c>
      <c r="D5" s="47" t="str">
        <f aca="false">IF(N('Входные данные'!$F$56)&gt;0,N('Входные данные'!$F$55)/N('Входные данные'!$F$56),"нужно измерить")</f>
        <v>нужно измерить</v>
      </c>
      <c r="E5" s="47" t="str">
        <f aca="false">IF(N('Входные данные'!$G$56)&gt;0,N('Входные данные'!$G$55)/N('Входные данные'!$G$56),"нужно измерить")</f>
        <v>нужно измерить</v>
      </c>
      <c r="F5" s="48" t="s">
        <v>386</v>
      </c>
    </row>
    <row r="6" customFormat="false" ht="15" hidden="false" customHeight="false" outlineLevel="0" collapsed="false">
      <c r="B6" s="3" t="s">
        <v>387</v>
      </c>
      <c r="C6" s="49" t="n">
        <f aca="false">N('Входные данные'!$E$55)</f>
        <v>100</v>
      </c>
      <c r="D6" s="49" t="n">
        <f aca="false">N('Входные данные'!$F$55)</f>
        <v>300</v>
      </c>
      <c r="E6" s="49" t="n">
        <f aca="false">N('Входные данные'!$G$55)</f>
        <v>900</v>
      </c>
      <c r="F6" s="48" t="s">
        <v>388</v>
      </c>
    </row>
    <row r="7" customFormat="false" ht="15" hidden="false" customHeight="false" outlineLevel="0" collapsed="false">
      <c r="B7" s="46" t="s">
        <v>389</v>
      </c>
      <c r="C7" s="50" t="n">
        <f aca="false">N('Входные данные'!$E$57)</f>
        <v>0.15</v>
      </c>
      <c r="D7" s="50" t="n">
        <f aca="false">N('Входные данные'!$F$57)</f>
        <v>0.2</v>
      </c>
      <c r="E7" s="50" t="n">
        <f aca="false">N('Входные данные'!$G$57)</f>
        <v>0.25</v>
      </c>
      <c r="F7" s="48" t="s">
        <v>390</v>
      </c>
    </row>
    <row r="8" customFormat="false" ht="15" hidden="false" customHeight="false" outlineLevel="0" collapsed="false">
      <c r="B8" s="46" t="s">
        <v>391</v>
      </c>
      <c r="C8" s="52" t="n">
        <f aca="false">Воронка!$C$6*Воронка!$C$7</f>
        <v>15</v>
      </c>
      <c r="D8" s="52" t="n">
        <f aca="false">Воронка!$D$6*Воронка!$D$7</f>
        <v>60</v>
      </c>
      <c r="E8" s="52" t="n">
        <f aca="false">Воронка!$E$6*Воронка!$E$7</f>
        <v>225</v>
      </c>
    </row>
    <row r="9" customFormat="false" ht="15" hidden="false" customHeight="false" outlineLevel="0" collapsed="false">
      <c r="B9" s="46" t="s">
        <v>392</v>
      </c>
      <c r="C9" s="50" t="n">
        <f aca="false">N('Входные данные'!$E$58)</f>
        <v>0.05</v>
      </c>
      <c r="D9" s="50" t="n">
        <f aca="false">N('Входные данные'!$F$58)</f>
        <v>0.05</v>
      </c>
      <c r="E9" s="50" t="n">
        <f aca="false">N('Входные данные'!$G$58)</f>
        <v>0.05</v>
      </c>
      <c r="F9" s="48" t="s">
        <v>393</v>
      </c>
    </row>
    <row r="10" customFormat="false" ht="15" hidden="false" customHeight="false" outlineLevel="0" collapsed="false">
      <c r="B10" s="46" t="s">
        <v>394</v>
      </c>
      <c r="C10" s="53" t="n">
        <f aca="false">Воронка!$C$8*Воронка!$C$9</f>
        <v>0.75</v>
      </c>
      <c r="D10" s="53" t="n">
        <f aca="false">Воронка!$D$8*Воронка!$D$9</f>
        <v>3</v>
      </c>
      <c r="E10" s="53" t="n">
        <f aca="false">Воронка!$E$8*Воронка!$E$9</f>
        <v>11.25</v>
      </c>
    </row>
    <row r="11" customFormat="false" ht="15" hidden="false" customHeight="false" outlineLevel="0" collapsed="false">
      <c r="B11" s="46" t="s">
        <v>395</v>
      </c>
      <c r="C11" s="50" t="n">
        <f aca="false">N('Входные данные'!$E$59)</f>
        <v>0.9</v>
      </c>
      <c r="D11" s="50" t="n">
        <f aca="false">N('Входные данные'!$F$59)</f>
        <v>0.9</v>
      </c>
      <c r="E11" s="50" t="n">
        <f aca="false">N('Входные данные'!$G$59)</f>
        <v>0.9</v>
      </c>
      <c r="F11" s="48" t="s">
        <v>396</v>
      </c>
    </row>
    <row r="12" customFormat="false" ht="15" hidden="false" customHeight="false" outlineLevel="0" collapsed="false">
      <c r="B12" s="46" t="s">
        <v>397</v>
      </c>
      <c r="C12" s="53" t="n">
        <f aca="false">Воронка!$C$10*Воронка!$C$11</f>
        <v>0.675</v>
      </c>
      <c r="D12" s="53" t="n">
        <f aca="false">Воронка!$D$10*Воронка!$D$11</f>
        <v>2.7</v>
      </c>
      <c r="E12" s="53" t="n">
        <f aca="false">Воронка!$E$10*Воронка!$E$11</f>
        <v>10.125</v>
      </c>
    </row>
    <row r="13" customFormat="false" ht="15" hidden="false" customHeight="false" outlineLevel="0" collapsed="false">
      <c r="B13" s="46" t="s">
        <v>398</v>
      </c>
      <c r="C13" s="54" t="n">
        <f aca="false">Воронка!$C$7*Воронка!$C$9*Воронка!$C$11</f>
        <v>0.00675</v>
      </c>
      <c r="D13" s="54" t="n">
        <f aca="false">Воронка!$D$7*Воронка!$D$9*Воронка!$D$11</f>
        <v>0.009</v>
      </c>
      <c r="E13" s="54" t="n">
        <f aca="false">Воронка!$E$7*Воронка!$E$9*Воронка!$E$11</f>
        <v>0.01125</v>
      </c>
    </row>
    <row r="14" customFormat="false" ht="15" hidden="false" customHeight="false" outlineLevel="0" collapsed="false">
      <c r="B14" s="46" t="s">
        <v>399</v>
      </c>
      <c r="C14" s="47" t="n">
        <f aca="false">IF(Воронка!$C$13&gt;0,1/Воронка!$C$13,"нет конверсии")</f>
        <v>148.148148148148</v>
      </c>
      <c r="D14" s="47" t="n">
        <f aca="false">IF(Воронка!$D$13&gt;0,1/Воронка!$D$13,"нет конверсии")</f>
        <v>111.111111111111</v>
      </c>
      <c r="E14" s="47" t="n">
        <f aca="false">IF(Воронка!$E$13&gt;0,1/Воронка!$E$13,"нет конверсии")</f>
        <v>88.8888888888889</v>
      </c>
    </row>
    <row r="16" customFormat="false" ht="15" hidden="false" customHeight="false" outlineLevel="0" collapsed="false">
      <c r="B16" s="44" t="s">
        <v>400</v>
      </c>
      <c r="C16" s="45"/>
      <c r="D16" s="45"/>
      <c r="E16" s="45"/>
      <c r="F16" s="45"/>
    </row>
    <row r="17" customFormat="false" ht="15" hidden="false" customHeight="false" outlineLevel="0" collapsed="false">
      <c r="B17" s="46" t="s">
        <v>401</v>
      </c>
      <c r="C17" s="50" t="n">
        <f aca="false">IF(N('Входные данные'!$E$38)=2,N('Входные данные'!$E$47),1)</f>
        <v>1</v>
      </c>
      <c r="D17" s="50" t="n">
        <f aca="false">IF(N('Входные данные'!$F$38)=2,N('Входные данные'!$F$47),1)</f>
        <v>1</v>
      </c>
      <c r="E17" s="50" t="n">
        <f aca="false">IF(N('Входные данные'!$G$38)=2,N('Входные данные'!$G$47),1)</f>
        <v>1</v>
      </c>
      <c r="F17" s="48" t="s">
        <v>402</v>
      </c>
    </row>
    <row r="18" customFormat="false" ht="15" hidden="false" customHeight="false" outlineLevel="0" collapsed="false">
      <c r="B18" s="3" t="s">
        <v>403</v>
      </c>
      <c r="C18" s="55" t="n">
        <f aca="false">Воронка!$C$12*Воронка!$C$17</f>
        <v>0.675</v>
      </c>
      <c r="D18" s="55" t="n">
        <f aca="false">Воронка!$D$12*Воронка!$D$17</f>
        <v>2.7</v>
      </c>
      <c r="E18" s="55" t="n">
        <f aca="false">Воронка!$E$12*Воронка!$E$17</f>
        <v>10.125</v>
      </c>
    </row>
    <row r="19" customFormat="false" ht="23.85" hidden="false" customHeight="false" outlineLevel="0" collapsed="false">
      <c r="B19" s="46" t="s">
        <v>404</v>
      </c>
      <c r="C19" s="47" t="n">
        <f aca="false">IF(N('Входные данные'!$E$52)&gt;0,MAX(0,N('Входные данные'!$E$52)-N('Входные данные'!$E$51)),1000000000)</f>
        <v>10</v>
      </c>
      <c r="D19" s="47" t="n">
        <f aca="false">IF(N('Входные данные'!$F$52)&gt;0,MAX(0,N('Входные данные'!$F$52)-N('Входные данные'!$F$51)),1000000000)</f>
        <v>10</v>
      </c>
      <c r="E19" s="47" t="n">
        <f aca="false">IF(N('Входные данные'!$G$52)&gt;0,MAX(0,N('Входные данные'!$G$52)-N('Входные данные'!$G$51)),1000000000)</f>
        <v>10</v>
      </c>
      <c r="F19" s="48" t="s">
        <v>405</v>
      </c>
    </row>
    <row r="20" customFormat="false" ht="15" hidden="false" customHeight="false" outlineLevel="0" collapsed="false">
      <c r="B20" s="46" t="s">
        <v>406</v>
      </c>
      <c r="C20" s="50" t="n">
        <f aca="false">IF(N('Входные данные'!$E$37)=2,N('Входные данные'!$E$41),0)</f>
        <v>0.7</v>
      </c>
      <c r="D20" s="50" t="n">
        <f aca="false">IF(N('Входные данные'!$F$37)=2,N('Входные данные'!$F$41),0)</f>
        <v>0.7</v>
      </c>
      <c r="E20" s="50" t="n">
        <f aca="false">IF(N('Входные данные'!$G$37)=2,N('Входные данные'!$G$41),0)</f>
        <v>0.7</v>
      </c>
      <c r="F20" s="48" t="s">
        <v>407</v>
      </c>
    </row>
    <row r="21" customFormat="false" ht="15" hidden="false" customHeight="false" outlineLevel="0" collapsed="false">
      <c r="B21" s="46" t="s">
        <v>408</v>
      </c>
      <c r="C21" s="53" t="n">
        <f aca="false">Воронка!$C$18*(1-Воронка!$C$20)</f>
        <v>0.2025</v>
      </c>
      <c r="D21" s="53" t="n">
        <f aca="false">Воронка!$D$18*(1-Воронка!$D$20)</f>
        <v>0.81</v>
      </c>
      <c r="E21" s="53" t="n">
        <f aca="false">Воронка!$E$18*(1-Воронка!$E$20)</f>
        <v>3.0375</v>
      </c>
    </row>
    <row r="22" customFormat="false" ht="15" hidden="false" customHeight="false" outlineLevel="0" collapsed="false">
      <c r="B22" s="3" t="s">
        <v>409</v>
      </c>
      <c r="C22" s="55" t="n">
        <f aca="false">MIN(Воронка!$C$21,Воронка!$C$19)</f>
        <v>0.2025</v>
      </c>
      <c r="D22" s="55" t="n">
        <f aca="false">MIN(Воронка!$D$21,Воронка!$D$19)</f>
        <v>0.81</v>
      </c>
      <c r="E22" s="55" t="n">
        <f aca="false">MIN(Воронка!$E$21,Воронка!$E$19)</f>
        <v>3.0375</v>
      </c>
    </row>
    <row r="23" customFormat="false" ht="15" hidden="false" customHeight="false" outlineLevel="0" collapsed="false">
      <c r="B23" s="46" t="s">
        <v>410</v>
      </c>
      <c r="C23" s="53" t="n">
        <f aca="false">Воронка!$C$21-Воронка!$C$22</f>
        <v>0</v>
      </c>
      <c r="D23" s="53" t="n">
        <f aca="false">Воронка!$D$21-Воронка!$D$22</f>
        <v>0</v>
      </c>
      <c r="E23" s="53" t="n">
        <f aca="false">Воронка!$E$21-Воронка!$E$22</f>
        <v>0</v>
      </c>
      <c r="F23" s="48" t="s">
        <v>411</v>
      </c>
    </row>
    <row r="24" customFormat="false" ht="15" hidden="false" customHeight="false" outlineLevel="0" collapsed="false">
      <c r="B24" s="46" t="s">
        <v>412</v>
      </c>
      <c r="C24" s="53" t="n">
        <f aca="false">Воронка!$C$18*Воронка!$C$20</f>
        <v>0.4725</v>
      </c>
      <c r="D24" s="53" t="n">
        <f aca="false">Воронка!$D$18*Воронка!$D$20</f>
        <v>1.89</v>
      </c>
      <c r="E24" s="53" t="n">
        <f aca="false">Воронка!$E$18*Воронка!$E$20</f>
        <v>7.0875</v>
      </c>
    </row>
    <row r="25" customFormat="false" ht="15" hidden="false" customHeight="false" outlineLevel="0" collapsed="false">
      <c r="B25" s="46" t="s">
        <v>413</v>
      </c>
      <c r="C25" s="47" t="n">
        <f aca="false">Воронка!$C$22*'Юнит-экономика'!$C$8</f>
        <v>206550</v>
      </c>
      <c r="D25" s="47" t="n">
        <f aca="false">Воронка!$D$22*'Юнит-экономика'!$D$8</f>
        <v>826200</v>
      </c>
      <c r="E25" s="47" t="n">
        <f aca="false">Воронка!$E$22*'Юнит-экономика'!$E$8</f>
        <v>3098250</v>
      </c>
    </row>
    <row r="26" customFormat="false" ht="15" hidden="false" customHeight="false" outlineLevel="0" collapsed="false">
      <c r="B26" s="46" t="s">
        <v>414</v>
      </c>
      <c r="C26" s="47" t="n">
        <f aca="false">Воронка!$C$22*'Юнит-экономика'!$C$29+Воронка!$C$24*'Юнит-экономика'!$C$27</f>
        <v>67905</v>
      </c>
      <c r="D26" s="47" t="n">
        <f aca="false">Воронка!$D$22*'Юнит-экономика'!$D$29+Воронка!$D$24*'Юнит-экономика'!$D$27</f>
        <v>271620</v>
      </c>
      <c r="E26" s="47" t="n">
        <f aca="false">Воронка!$E$22*'Юнит-экономика'!$E$29+Воронка!$E$24*'Юнит-экономика'!$E$27</f>
        <v>1018575</v>
      </c>
      <c r="F26" s="48" t="s">
        <v>415</v>
      </c>
    </row>
    <row r="27" customFormat="false" ht="15" hidden="false" customHeight="false" outlineLevel="0" collapsed="false">
      <c r="B27" s="46" t="s">
        <v>416</v>
      </c>
      <c r="C27" s="47" t="n">
        <f aca="false">Воронка!$C$22*'Юнит-экономика'!$C$28*(1-N('Входные данные'!$E$44))</f>
        <v>40095</v>
      </c>
      <c r="D27" s="47" t="n">
        <f aca="false">Воронка!$D$22*'Юнит-экономика'!$D$28*(1-N('Входные данные'!$F$44))</f>
        <v>241380</v>
      </c>
      <c r="E27" s="47" t="n">
        <f aca="false">Воронка!$E$22*'Юнит-экономика'!$E$28*(1-N('Входные данные'!$G$44))</f>
        <v>1816425</v>
      </c>
    </row>
    <row r="28" customFormat="false" ht="15" hidden="false" customHeight="false" outlineLevel="0" collapsed="false">
      <c r="B28" s="3" t="s">
        <v>417</v>
      </c>
      <c r="C28" s="49" t="n">
        <f aca="false">Воронка!$C$26+Воронка!$C$27</f>
        <v>108000</v>
      </c>
      <c r="D28" s="49" t="n">
        <f aca="false">Воронка!$D$26+Воронка!$D$27</f>
        <v>513000</v>
      </c>
      <c r="E28" s="49" t="n">
        <f aca="false">Воронка!$E$26+Воронка!$E$27</f>
        <v>2835000</v>
      </c>
      <c r="F28" s="48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4"/>
    <col collapsed="false" customWidth="true" hidden="false" outlineLevel="0" max="5" min="3" style="0" width="16"/>
    <col collapsed="false" customWidth="true" hidden="false" outlineLevel="0" max="6" min="6" style="0" width="60"/>
    <col collapsed="false" customWidth="true" hidden="false" outlineLevel="0" max="16" min="7" style="0" width="14"/>
  </cols>
  <sheetData>
    <row r="1" customFormat="false" ht="17.35" hidden="false" customHeight="false" outlineLevel="0" collapsed="false">
      <c r="A1" s="1" t="s">
        <v>419</v>
      </c>
    </row>
    <row r="2" customFormat="false" ht="15" hidden="false" customHeight="false" outlineLevel="0" collapsed="false">
      <c r="A2" s="2" t="s">
        <v>420</v>
      </c>
    </row>
    <row r="4" customFormat="false" ht="15" hidden="false" customHeight="false" outlineLevel="0" collapsed="false">
      <c r="B4" s="42" t="s">
        <v>325</v>
      </c>
      <c r="C4" s="43" t="s">
        <v>13</v>
      </c>
      <c r="D4" s="43" t="s">
        <v>14</v>
      </c>
      <c r="E4" s="43" t="s">
        <v>15</v>
      </c>
      <c r="F4" s="43" t="s">
        <v>326</v>
      </c>
    </row>
    <row r="5" customFormat="false" ht="15" hidden="false" customHeight="false" outlineLevel="0" collapsed="false">
      <c r="B5" s="44" t="s">
        <v>421</v>
      </c>
      <c r="C5" s="45"/>
      <c r="D5" s="45"/>
      <c r="E5" s="45"/>
      <c r="F5" s="45"/>
    </row>
    <row r="6" customFormat="false" ht="15" hidden="false" customHeight="false" outlineLevel="0" collapsed="false">
      <c r="B6" s="46" t="s">
        <v>197</v>
      </c>
      <c r="C6" s="47" t="n">
        <f aca="false">N('Входные данные'!$E$62)</f>
        <v>1000000</v>
      </c>
      <c r="D6" s="47" t="n">
        <f aca="false">N('Входные данные'!$F$62)</f>
        <v>1000000</v>
      </c>
      <c r="E6" s="47" t="n">
        <f aca="false">N('Входные данные'!$G$62)</f>
        <v>1000000</v>
      </c>
      <c r="F6" s="48" t="s">
        <v>34</v>
      </c>
    </row>
    <row r="7" customFormat="false" ht="15" hidden="false" customHeight="false" outlineLevel="0" collapsed="false">
      <c r="B7" s="46" t="s">
        <v>422</v>
      </c>
      <c r="C7" s="47" t="n">
        <f aca="false">N('Входные данные'!$E$63)</f>
        <v>6500000</v>
      </c>
      <c r="D7" s="47" t="n">
        <f aca="false">N('Входные данные'!$F$63)</f>
        <v>6500000</v>
      </c>
      <c r="E7" s="47" t="n">
        <f aca="false">N('Входные данные'!$G$63)</f>
        <v>6500000</v>
      </c>
      <c r="F7" s="48" t="s">
        <v>423</v>
      </c>
    </row>
    <row r="8" customFormat="false" ht="15" hidden="false" customHeight="false" outlineLevel="0" collapsed="false">
      <c r="B8" s="46" t="s">
        <v>424</v>
      </c>
      <c r="C8" s="47" t="n">
        <f aca="false">N('Входные данные'!$E$50)</f>
        <v>0</v>
      </c>
      <c r="D8" s="47" t="n">
        <f aca="false">N('Входные данные'!$F$50)</f>
        <v>0</v>
      </c>
      <c r="E8" s="47" t="n">
        <f aca="false">N('Входные данные'!$G$50)</f>
        <v>0</v>
      </c>
      <c r="F8" s="48" t="s">
        <v>425</v>
      </c>
    </row>
    <row r="9" customFormat="false" ht="15" hidden="false" customHeight="false" outlineLevel="0" collapsed="false">
      <c r="B9" s="3" t="s">
        <v>426</v>
      </c>
      <c r="C9" s="49" t="n">
        <f aca="false">Сценарии_BEP!$C$6+Сценарии_BEP!$C$7+Сценарии_BEP!$C$8</f>
        <v>7500000</v>
      </c>
      <c r="D9" s="49" t="n">
        <f aca="false">Сценарии_BEP!$D$6+Сценарии_BEP!$D$7+Сценарии_BEP!$D$8</f>
        <v>7500000</v>
      </c>
      <c r="E9" s="49" t="n">
        <f aca="false">Сценарии_BEP!$E$6+Сценарии_BEP!$E$7+Сценарии_BEP!$E$8</f>
        <v>7500000</v>
      </c>
    </row>
    <row r="10" customFormat="false" ht="15" hidden="false" customHeight="false" outlineLevel="0" collapsed="false">
      <c r="B10" s="46" t="s">
        <v>427</v>
      </c>
      <c r="C10" s="51" t="n">
        <f aca="false">IF(N('Входные данные'!$E$65)=1,52/12,IF(N('Входные данные'!$E$65)=2,1,IF(AND(N('Входные данные'!$E$65)=3,N('Входные данные'!$E$66)&gt;0),1/N('Входные данные'!$E$66),0)))</f>
        <v>4.33333333333333</v>
      </c>
      <c r="D10" s="51" t="n">
        <f aca="false">IF(N('Входные данные'!$F$65)=1,52/12,IF(N('Входные данные'!$F$65)=2,1,IF(AND(N('Входные данные'!$F$65)=3,N('Входные данные'!$F$66)&gt;0),1/N('Входные данные'!$F$66),0)))</f>
        <v>4.33333333333333</v>
      </c>
      <c r="E10" s="51" t="n">
        <f aca="false">IF(N('Входные данные'!$G$65)=1,52/12,IF(N('Входные данные'!$G$65)=2,1,IF(AND(N('Входные данные'!$G$65)=3,N('Входные данные'!$G$66)&gt;0),1/N('Входные данные'!$G$66),0)))</f>
        <v>4.33333333333333</v>
      </c>
      <c r="F10" s="48" t="s">
        <v>428</v>
      </c>
    </row>
    <row r="11" customFormat="false" ht="15" hidden="false" customHeight="false" outlineLevel="0" collapsed="false">
      <c r="B11" s="46" t="s">
        <v>429</v>
      </c>
      <c r="C11" s="52" t="n">
        <f aca="false">N('Входные данные'!$E$67)*Сценарии_BEP!$C$10</f>
        <v>86.6666666666667</v>
      </c>
      <c r="D11" s="52" t="n">
        <f aca="false">N('Входные данные'!$F$67)*Сценарии_BEP!$D$10</f>
        <v>75.8333333333333</v>
      </c>
      <c r="E11" s="52" t="n">
        <f aca="false">N('Входные данные'!$G$67)*Сценарии_BEP!$E$10</f>
        <v>65</v>
      </c>
    </row>
    <row r="12" customFormat="false" ht="15" hidden="false" customHeight="false" outlineLevel="0" collapsed="false">
      <c r="B12" s="46" t="s">
        <v>430</v>
      </c>
      <c r="C12" s="52" t="n">
        <f aca="false">N('Входные данные'!$E$68)*Сценарии_BEP!$C$10</f>
        <v>86.6666666666667</v>
      </c>
      <c r="D12" s="52" t="n">
        <f aca="false">N('Входные данные'!$F$68)*Сценарии_BEP!$D$10</f>
        <v>75.8333333333333</v>
      </c>
      <c r="E12" s="52" t="n">
        <f aca="false">N('Входные данные'!$G$68)*Сценарии_BEP!$E$10</f>
        <v>65</v>
      </c>
    </row>
    <row r="13" customFormat="false" ht="15" hidden="false" customHeight="false" outlineLevel="0" collapsed="false">
      <c r="B13" s="46" t="s">
        <v>431</v>
      </c>
      <c r="C13" s="52" t="n">
        <f aca="false">N('Входные данные'!$E$69)*Сценарии_BEP!$C$10</f>
        <v>216.666666666667</v>
      </c>
      <c r="D13" s="52" t="n">
        <f aca="false">N('Входные данные'!$F$69)*Сценарии_BEP!$D$10</f>
        <v>216.666666666667</v>
      </c>
      <c r="E13" s="52" t="n">
        <f aca="false">N('Входные данные'!$G$69)*Сценарии_BEP!$E$10</f>
        <v>216.666666666667</v>
      </c>
    </row>
    <row r="14" customFormat="false" ht="15" hidden="false" customHeight="false" outlineLevel="0" collapsed="false">
      <c r="B14" s="46" t="s">
        <v>432</v>
      </c>
      <c r="C14" s="47" t="n">
        <f aca="false">IF(N('Входные данные'!$E$70)=1,Сценарии_BEP!$C$11*N('Входные данные'!$E$72),IF(N('Входные данные'!$E$70)=2,IF(N('Входные данные'!$E$71)&gt;0,Сценарии_BEP!$C$11/(N('Входные данные'!$E$71)*52/12)*N('Входные данные'!$E$72),0),N('Входные данные'!$E$72)))</f>
        <v>10000000</v>
      </c>
      <c r="D14" s="47" t="n">
        <f aca="false">IF(N('Входные данные'!$F$70)=1,Сценарии_BEP!$D$11*N('Входные данные'!$F$72),IF(N('Входные данные'!$F$70)=2,IF(N('Входные данные'!$F$71)&gt;0,Сценарии_BEP!$D$11/(N('Входные данные'!$F$71)*52/12)*N('Входные данные'!$F$72),0),N('Входные данные'!$F$72)))</f>
        <v>8750000</v>
      </c>
      <c r="E14" s="47" t="n">
        <f aca="false">IF(N('Входные данные'!$G$70)=1,Сценарии_BEP!$E$11*N('Входные данные'!$G$72),IF(N('Входные данные'!$G$70)=2,IF(N('Входные данные'!$G$71)&gt;0,Сценарии_BEP!$E$11/(N('Входные данные'!$G$71)*52/12)*N('Входные данные'!$G$72),0),N('Входные данные'!$G$72)))</f>
        <v>7500000</v>
      </c>
      <c r="F14" s="48" t="s">
        <v>433</v>
      </c>
    </row>
    <row r="15" customFormat="false" ht="15" hidden="false" customHeight="false" outlineLevel="0" collapsed="false">
      <c r="B15" s="46" t="s">
        <v>434</v>
      </c>
      <c r="C15" s="47" t="n">
        <f aca="false">IF(N('Входные данные'!$E$70)=1,Сценарии_BEP!$C$12*N('Входные данные'!$E$73),IF(N('Входные данные'!$E$70)=2,IF(N('Входные данные'!$E$71)&gt;0,Сценарии_BEP!$C$12/(N('Входные данные'!$E$71)*52/12)*N('Входные данные'!$E$73),0),N('Входные данные'!$E$73)))</f>
        <v>10000000</v>
      </c>
      <c r="D15" s="47" t="n">
        <f aca="false">IF(N('Входные данные'!$F$70)=1,Сценарии_BEP!$D$12*N('Входные данные'!$F$73),IF(N('Входные данные'!$F$70)=2,IF(N('Входные данные'!$F$71)&gt;0,Сценарии_BEP!$D$12/(N('Входные данные'!$F$71)*52/12)*N('Входные данные'!$F$73),0),N('Входные данные'!$F$73)))</f>
        <v>8750000</v>
      </c>
      <c r="E15" s="47" t="n">
        <f aca="false">IF(N('Входные данные'!$G$70)=1,Сценарии_BEP!$E$12*N('Входные данные'!$G$73),IF(N('Входные данные'!$G$70)=2,IF(N('Входные данные'!$G$71)&gt;0,Сценарии_BEP!$E$12/(N('Входные данные'!$G$71)*52/12)*N('Входные данные'!$G$73),0),N('Входные данные'!$G$73)))</f>
        <v>7500000</v>
      </c>
      <c r="F15" s="48" t="s">
        <v>433</v>
      </c>
    </row>
    <row r="16" customFormat="false" ht="15" hidden="false" customHeight="false" outlineLevel="0" collapsed="false">
      <c r="B16" s="46" t="s">
        <v>435</v>
      </c>
      <c r="C16" s="47" t="n">
        <f aca="false">IF(N('Входные данные'!$E$70)=1,Сценарии_BEP!$C$13*N('Входные данные'!$E$74),IF(N('Входные данные'!$E$70)=2,IF(N('Входные данные'!$E$71)&gt;0,Сценарии_BEP!$C$13/(N('Входные данные'!$E$71)*52/12)*N('Входные данные'!$E$74),0),N('Входные данные'!$E$74)))</f>
        <v>6250000</v>
      </c>
      <c r="D16" s="47" t="n">
        <f aca="false">IF(N('Входные данные'!$F$70)=1,Сценарии_BEP!$D$13*N('Входные данные'!$F$74),IF(N('Входные данные'!$F$70)=2,IF(N('Входные данные'!$F$71)&gt;0,Сценарии_BEP!$D$13/(N('Входные данные'!$F$71)*52/12)*N('Входные данные'!$F$74),0),N('Входные данные'!$F$74)))</f>
        <v>6250000</v>
      </c>
      <c r="E16" s="47" t="n">
        <f aca="false">IF(N('Входные данные'!$G$70)=1,Сценарии_BEP!$E$13*N('Входные данные'!$G$74),IF(N('Входные данные'!$G$70)=2,IF(N('Входные данные'!$G$71)&gt;0,Сценарии_BEP!$E$13/(N('Входные данные'!$G$71)*52/12)*N('Входные данные'!$G$74),0),N('Входные данные'!$G$74)))</f>
        <v>6250000</v>
      </c>
      <c r="F16" s="48" t="s">
        <v>433</v>
      </c>
    </row>
    <row r="17" customFormat="false" ht="15" hidden="false" customHeight="false" outlineLevel="0" collapsed="false">
      <c r="B17" s="46" t="s">
        <v>436</v>
      </c>
      <c r="C17" s="47" t="n">
        <f aca="false">Сценарии_BEP!$C$14*(1-N('Входные данные'!$E$75))</f>
        <v>0</v>
      </c>
      <c r="D17" s="47" t="n">
        <f aca="false">Сценарии_BEP!$D$14*(1-N('Входные данные'!$F$75))</f>
        <v>0</v>
      </c>
      <c r="E17" s="47" t="n">
        <f aca="false">Сценарии_BEP!$E$14*(1-N('Входные данные'!$G$75))</f>
        <v>0</v>
      </c>
      <c r="F17" s="48" t="s">
        <v>437</v>
      </c>
    </row>
    <row r="18" customFormat="false" ht="15" hidden="false" customHeight="false" outlineLevel="0" collapsed="false">
      <c r="B18" s="46" t="s">
        <v>438</v>
      </c>
      <c r="C18" s="47" t="n">
        <f aca="false">Сценарии_BEP!$C$15*(1-N('Входные данные'!$E$76))</f>
        <v>0</v>
      </c>
      <c r="D18" s="47" t="n">
        <f aca="false">Сценарии_BEP!$D$15*(1-N('Входные данные'!$F$76))</f>
        <v>0</v>
      </c>
      <c r="E18" s="47" t="n">
        <f aca="false">Сценарии_BEP!$E$15*(1-N('Входные данные'!$G$76))</f>
        <v>0</v>
      </c>
      <c r="F18" s="48" t="s">
        <v>437</v>
      </c>
    </row>
    <row r="19" customFormat="false" ht="15" hidden="false" customHeight="false" outlineLevel="0" collapsed="false">
      <c r="B19" s="46" t="s">
        <v>439</v>
      </c>
      <c r="C19" s="47" t="n">
        <f aca="false">Сценарии_BEP!$C$16*(1-N('Входные данные'!$E$77))</f>
        <v>1250000</v>
      </c>
      <c r="D19" s="47" t="n">
        <f aca="false">Сценарии_BEP!$D$16*(1-N('Входные данные'!$F$77))</f>
        <v>1250000</v>
      </c>
      <c r="E19" s="47" t="n">
        <f aca="false">Сценарии_BEP!$E$16*(1-N('Входные данные'!$G$77))</f>
        <v>1250000</v>
      </c>
      <c r="F19" s="48" t="s">
        <v>437</v>
      </c>
    </row>
    <row r="20" customFormat="false" ht="15" hidden="false" customHeight="false" outlineLevel="0" collapsed="false">
      <c r="B20" s="46" t="s">
        <v>440</v>
      </c>
      <c r="C20" s="47" t="n">
        <f aca="false">Сценарии_BEP!$C$17+Сценарии_BEP!$C$18+Сценарии_BEP!$C$19</f>
        <v>1250000</v>
      </c>
      <c r="D20" s="47" t="n">
        <f aca="false">Сценарии_BEP!$D$17+Сценарии_BEP!$D$18+Сценарии_BEP!$D$19</f>
        <v>1250000</v>
      </c>
      <c r="E20" s="47" t="n">
        <f aca="false">Сценарии_BEP!$E$17+Сценарии_BEP!$E$18+Сценарии_BEP!$E$19</f>
        <v>1250000</v>
      </c>
      <c r="F20" s="48" t="s">
        <v>441</v>
      </c>
    </row>
    <row r="21" customFormat="false" ht="15" hidden="false" customHeight="false" outlineLevel="0" collapsed="false">
      <c r="B21" s="3" t="s">
        <v>442</v>
      </c>
      <c r="C21" s="49" t="n">
        <f aca="false">Сценарии_BEP!$C$9+Сценарии_BEP!$C$20</f>
        <v>8750000</v>
      </c>
      <c r="D21" s="49" t="n">
        <f aca="false">Сценарии_BEP!$D$9+Сценарии_BEP!$D$20</f>
        <v>8750000</v>
      </c>
      <c r="E21" s="49" t="n">
        <f aca="false">Сценарии_BEP!$E$9+Сценарии_BEP!$E$20</f>
        <v>8750000</v>
      </c>
    </row>
    <row r="23" customFormat="false" ht="15" hidden="false" customHeight="false" outlineLevel="0" collapsed="false">
      <c r="B23" s="44" t="s">
        <v>443</v>
      </c>
      <c r="C23" s="45"/>
      <c r="D23" s="45"/>
      <c r="E23" s="45"/>
      <c r="F23" s="45"/>
    </row>
    <row r="24" customFormat="false" ht="15" hidden="false" customHeight="false" outlineLevel="0" collapsed="false">
      <c r="B24" s="46" t="s">
        <v>444</v>
      </c>
      <c r="C24" s="47" t="n">
        <f aca="false">Сценарии_BEP!$C$14*N('Входные данные'!$E$75)*N('Входные данные'!$E$66)</f>
        <v>30000000</v>
      </c>
      <c r="D24" s="47" t="n">
        <f aca="false">Сценарии_BEP!$D$14*N('Входные данные'!$F$75)*N('Входные данные'!$F$66)</f>
        <v>26250000</v>
      </c>
      <c r="E24" s="47" t="n">
        <f aca="false">Сценарии_BEP!$E$14*N('Входные данные'!$G$75)*N('Входные данные'!$G$66)</f>
        <v>22500000</v>
      </c>
      <c r="F24" s="48" t="s">
        <v>445</v>
      </c>
    </row>
    <row r="25" customFormat="false" ht="15" hidden="false" customHeight="false" outlineLevel="0" collapsed="false">
      <c r="B25" s="46" t="s">
        <v>446</v>
      </c>
      <c r="C25" s="47" t="n">
        <f aca="false">Сценарии_BEP!$C$15*N('Входные данные'!$E$76)*N('Входные данные'!$E$66)</f>
        <v>30000000</v>
      </c>
      <c r="D25" s="47" t="n">
        <f aca="false">Сценарии_BEP!$D$15*N('Входные данные'!$F$76)*N('Входные данные'!$F$66)</f>
        <v>26250000</v>
      </c>
      <c r="E25" s="47" t="n">
        <f aca="false">Сценарии_BEP!$E$15*N('Входные данные'!$G$76)*N('Входные данные'!$G$66)</f>
        <v>22500000</v>
      </c>
      <c r="F25" s="48" t="s">
        <v>445</v>
      </c>
    </row>
    <row r="26" customFormat="false" ht="15" hidden="false" customHeight="false" outlineLevel="0" collapsed="false">
      <c r="B26" s="46" t="s">
        <v>447</v>
      </c>
      <c r="C26" s="47" t="n">
        <f aca="false">Сценарии_BEP!$C$16*N('Входные данные'!$E$77)*N('Входные данные'!$E$66)</f>
        <v>15000000</v>
      </c>
      <c r="D26" s="47" t="n">
        <f aca="false">Сценарии_BEP!$D$16*N('Входные данные'!$F$77)*N('Входные данные'!$F$66)</f>
        <v>15000000</v>
      </c>
      <c r="E26" s="47" t="n">
        <f aca="false">Сценарии_BEP!$E$16*N('Входные данные'!$G$77)*N('Входные данные'!$G$66)</f>
        <v>15000000</v>
      </c>
      <c r="F26" s="48" t="s">
        <v>445</v>
      </c>
    </row>
    <row r="27" customFormat="false" ht="15" hidden="false" customHeight="false" outlineLevel="0" collapsed="false">
      <c r="B27" s="46" t="s">
        <v>448</v>
      </c>
      <c r="C27" s="47" t="n">
        <f aca="false">Сценарии_BEP!$C$24+Сценарии_BEP!$C$25+Сценарии_BEP!$C$26</f>
        <v>75000000</v>
      </c>
      <c r="D27" s="47" t="n">
        <f aca="false">Сценарии_BEP!$D$24+Сценарии_BEP!$D$25+Сценарии_BEP!$D$26</f>
        <v>67500000</v>
      </c>
      <c r="E27" s="47" t="n">
        <f aca="false">Сценарии_BEP!$E$24+Сценарии_BEP!$E$25+Сценарии_BEP!$E$26</f>
        <v>60000000</v>
      </c>
    </row>
    <row r="28" customFormat="false" ht="15" hidden="false" customHeight="false" outlineLevel="0" collapsed="false">
      <c r="B28" s="46" t="s">
        <v>449</v>
      </c>
      <c r="C28" s="47" t="n">
        <f aca="false">N('Входные данные'!$E$79)+N('Входные данные'!$E$80)+N('Входные данные'!$E$81)+N('Входные данные'!$E$82)+N('Входные данные'!$E$83)</f>
        <v>4500000</v>
      </c>
      <c r="D28" s="47" t="n">
        <f aca="false">N('Входные данные'!$F$79)+N('Входные данные'!$F$80)+N('Входные данные'!$F$81)+N('Входные данные'!$F$82)+N('Входные данные'!$F$83)</f>
        <v>4500000</v>
      </c>
      <c r="E28" s="47" t="n">
        <f aca="false">N('Входные данные'!$G$79)+N('Входные данные'!$G$80)+N('Входные данные'!$G$81)+N('Входные данные'!$G$82)+N('Входные данные'!$G$83)</f>
        <v>4500000</v>
      </c>
      <c r="F28" s="48" t="s">
        <v>450</v>
      </c>
    </row>
    <row r="29" customFormat="false" ht="15" hidden="false" customHeight="false" outlineLevel="0" collapsed="false">
      <c r="B29" s="3" t="s">
        <v>451</v>
      </c>
      <c r="C29" s="49" t="n">
        <f aca="false">Сценарии_BEP!$C$27+Сценарии_BEP!$C$28</f>
        <v>79500000</v>
      </c>
      <c r="D29" s="49" t="n">
        <f aca="false">Сценарии_BEP!$D$27+Сценарии_BEP!$D$28</f>
        <v>72000000</v>
      </c>
      <c r="E29" s="49" t="n">
        <f aca="false">Сценарии_BEP!$E$27+Сценарии_BEP!$E$28</f>
        <v>64500000</v>
      </c>
    </row>
    <row r="30" customFormat="false" ht="15" hidden="false" customHeight="false" outlineLevel="0" collapsed="false">
      <c r="B30" s="46" t="s">
        <v>452</v>
      </c>
      <c r="C30" s="47" t="n">
        <f aca="false">Сценарии_BEP!$C$28</f>
        <v>4500000</v>
      </c>
      <c r="D30" s="47" t="n">
        <f aca="false">Сценарии_BEP!$D$28</f>
        <v>4500000</v>
      </c>
      <c r="E30" s="47" t="n">
        <f aca="false">Сценарии_BEP!$E$28</f>
        <v>4500000</v>
      </c>
    </row>
    <row r="32" customFormat="false" ht="15" hidden="false" customHeight="false" outlineLevel="0" collapsed="false">
      <c r="B32" s="44" t="s">
        <v>453</v>
      </c>
      <c r="C32" s="45"/>
      <c r="D32" s="45"/>
      <c r="E32" s="45"/>
      <c r="F32" s="45"/>
    </row>
    <row r="33" customFormat="false" ht="15" hidden="false" customHeight="false" outlineLevel="0" collapsed="false">
      <c r="B33" s="46" t="s">
        <v>454</v>
      </c>
      <c r="C33" s="47" t="n">
        <f aca="false">'Юнит-экономика'!$C$34</f>
        <v>160000</v>
      </c>
      <c r="D33" s="47" t="n">
        <f aca="false">'Юнит-экономика'!$D$34</f>
        <v>190000</v>
      </c>
      <c r="E33" s="47" t="n">
        <f aca="false">'Юнит-экономика'!$E$34</f>
        <v>280000</v>
      </c>
    </row>
    <row r="34" customFormat="false" ht="15" hidden="false" customHeight="false" outlineLevel="0" collapsed="false">
      <c r="B34" s="46" t="s">
        <v>455</v>
      </c>
      <c r="C34" s="47" t="n">
        <f aca="false">'Юнит-экономика'!$C$35</f>
        <v>100600</v>
      </c>
      <c r="D34" s="47" t="n">
        <f aca="false">'Юнит-экономика'!$D$35</f>
        <v>100600</v>
      </c>
      <c r="E34" s="47" t="n">
        <f aca="false">'Юнит-экономика'!$E$35</f>
        <v>100600</v>
      </c>
      <c r="F34" s="48" t="s">
        <v>456</v>
      </c>
    </row>
    <row r="35" customFormat="false" ht="15" hidden="false" customHeight="false" outlineLevel="0" collapsed="false">
      <c r="B35" s="46" t="s">
        <v>457</v>
      </c>
      <c r="C35" s="54" t="n">
        <f aca="false">Воронка!$C$13*Воронка!$C$17</f>
        <v>0.00675</v>
      </c>
      <c r="D35" s="54" t="n">
        <f aca="false">Воронка!$D$13*Воронка!$D$17</f>
        <v>0.009</v>
      </c>
      <c r="E35" s="54" t="n">
        <f aca="false">Воронка!$E$13*Воронка!$E$17</f>
        <v>0.01125</v>
      </c>
    </row>
    <row r="36" customFormat="false" ht="15" hidden="false" customHeight="false" outlineLevel="0" collapsed="false">
      <c r="B36" s="46" t="s">
        <v>458</v>
      </c>
      <c r="C36" s="52" t="n">
        <f aca="false">IF(Сценарии_BEP!$C$33&gt;0,Сценарии_BEP!$C$9/Сценарии_BEP!$C$33,"нет БУ")</f>
        <v>46.875</v>
      </c>
      <c r="D36" s="52" t="n">
        <f aca="false">IF(Сценарии_BEP!$D$33&gt;0,Сценарии_BEP!$D$9/Сценарии_BEP!$D$33,"нет БУ")</f>
        <v>39.4736842105263</v>
      </c>
      <c r="E36" s="52" t="n">
        <f aca="false">IF(Сценарии_BEP!$E$33&gt;0,Сценарии_BEP!$E$9/Сценарии_BEP!$E$33,"нет БУ")</f>
        <v>26.7857142857143</v>
      </c>
    </row>
    <row r="37" customFormat="false" ht="15" hidden="false" customHeight="false" outlineLevel="0" collapsed="false">
      <c r="B37" s="3" t="s">
        <v>459</v>
      </c>
      <c r="C37" s="56" t="n">
        <f aca="false">IF(Сценарии_BEP!$C$33&gt;0,Сценарии_BEP!$C$21/Сценарии_BEP!$C$33,"нет БУ")</f>
        <v>54.6875</v>
      </c>
      <c r="D37" s="56" t="n">
        <f aca="false">IF(Сценарии_BEP!$D$33&gt;0,Сценарии_BEP!$D$21/Сценарии_BEP!$D$33,"нет БУ")</f>
        <v>46.0526315789474</v>
      </c>
      <c r="E37" s="56" t="n">
        <f aca="false">IF(Сценарии_BEP!$E$33&gt;0,Сценарии_BEP!$E$21/Сценарии_BEP!$E$33,"нет БУ")</f>
        <v>31.25</v>
      </c>
    </row>
    <row r="38" customFormat="false" ht="15" hidden="false" customHeight="false" outlineLevel="0" collapsed="false">
      <c r="B38" s="46" t="s">
        <v>460</v>
      </c>
      <c r="C38" s="47" t="n">
        <f aca="false">IF(AND(ISNUMBER(Сценарии_BEP!$C$36),Сценарии_BEP!$C$35&gt;0),Сценарии_BEP!$C$36/Сценарии_BEP!$C$35,"нет БУ")</f>
        <v>6944.44444444444</v>
      </c>
      <c r="D38" s="47" t="n">
        <f aca="false">IF(AND(ISNUMBER(Сценарии_BEP!$D$36),Сценарии_BEP!$D$35&gt;0),Сценарии_BEP!$D$36/Сценарии_BEP!$D$35,"нет БУ")</f>
        <v>4385.9649122807</v>
      </c>
      <c r="E38" s="47" t="n">
        <f aca="false">IF(AND(ISNUMBER(Сценарии_BEP!$E$36),Сценарии_BEP!$E$35&gt;0),Сценарии_BEP!$E$36/Сценарии_BEP!$E$35,"нет БУ")</f>
        <v>2380.95238095238</v>
      </c>
    </row>
    <row r="39" customFormat="false" ht="15" hidden="false" customHeight="false" outlineLevel="0" collapsed="false">
      <c r="B39" s="3" t="s">
        <v>461</v>
      </c>
      <c r="C39" s="49" t="n">
        <f aca="false">IF(AND(ISNUMBER(Сценарии_BEP!$C$37),Сценарии_BEP!$C$35&gt;0),Сценарии_BEP!$C$37/Сценарии_BEP!$C$35,"нет БУ")</f>
        <v>8101.85185185185</v>
      </c>
      <c r="D39" s="49" t="n">
        <f aca="false">IF(AND(ISNUMBER(Сценарии_BEP!$D$37),Сценарии_BEP!$D$35&gt;0),Сценарии_BEP!$D$37/Сценарии_BEP!$D$35,"нет БУ")</f>
        <v>5116.95906432748</v>
      </c>
      <c r="E39" s="49" t="n">
        <f aca="false">IF(AND(ISNUMBER(Сценарии_BEP!$E$37),Сценарии_BEP!$E$35&gt;0),Сценарии_BEP!$E$37/Сценарии_BEP!$E$35,"нет БУ")</f>
        <v>2777.77777777778</v>
      </c>
    </row>
    <row r="40" customFormat="false" ht="15" hidden="false" customHeight="false" outlineLevel="0" collapsed="false">
      <c r="B40" s="46" t="s">
        <v>462</v>
      </c>
      <c r="C40" s="52" t="n">
        <f aca="false">IF(Сценарии_BEP!$C$34&gt;0,Сценарии_BEP!$C$21/Сценарии_BEP!$C$34,"нет БУ")</f>
        <v>86.9781312127237</v>
      </c>
      <c r="D40" s="52" t="n">
        <f aca="false">IF(Сценарии_BEP!$D$34&gt;0,Сценарии_BEP!$D$21/Сценарии_BEP!$D$34,"нет БУ")</f>
        <v>86.9781312127237</v>
      </c>
      <c r="E40" s="52" t="n">
        <f aca="false">IF(Сценарии_BEP!$E$34&gt;0,Сценарии_BEP!$E$21/Сценарии_BEP!$E$34,"нет БУ")</f>
        <v>86.9781312127237</v>
      </c>
    </row>
    <row r="41" customFormat="false" ht="15" hidden="false" customHeight="false" outlineLevel="0" collapsed="false">
      <c r="B41" s="46" t="s">
        <v>463</v>
      </c>
      <c r="C41" s="47" t="n">
        <f aca="false">IF(AND(ISNUMBER(Сценарии_BEP!$C$40),Сценарии_BEP!$C$35&gt;0),Сценарии_BEP!$C$40/Сценарии_BEP!$C$35,"нет БУ")</f>
        <v>12885.6490685517</v>
      </c>
      <c r="D41" s="47" t="n">
        <f aca="false">IF(AND(ISNUMBER(Сценарии_BEP!$D$40),Сценарии_BEP!$D$35&gt;0),Сценарии_BEP!$D$40/Сценарии_BEP!$D$35,"нет БУ")</f>
        <v>9664.23680141374</v>
      </c>
      <c r="E41" s="47" t="n">
        <f aca="false">IF(AND(ISNUMBER(Сценарии_BEP!$E$40),Сценарии_BEP!$E$35&gt;0),Сценарии_BEP!$E$40/Сценарии_BEP!$E$35,"нет БУ")</f>
        <v>7731.38944113099</v>
      </c>
    </row>
    <row r="42" customFormat="false" ht="15" hidden="false" customHeight="false" outlineLevel="0" collapsed="false">
      <c r="B42" s="46" t="s">
        <v>464</v>
      </c>
      <c r="C42" s="47" t="str">
        <f aca="false">IF(ISNUMBER(Сценарии_BEP!$C$37),IF(Сценарии_BEP!$C$37*(1-Воронка!$C$20)&lt;=Воронка!$C$19,"хватает","НЕ хватает: упрёмся в мощность KMT"),"н/д")</f>
        <v>НЕ хватает: упрёмся в мощность KMT</v>
      </c>
      <c r="D42" s="47" t="str">
        <f aca="false">IF(ISNUMBER(Сценарии_BEP!$D$37),IF(Сценарии_BEP!$D$37*(1-Воронка!$D$20)&lt;=Воронка!$D$19,"хватает","НЕ хватает: упрёмся в мощность KMT"),"н/д")</f>
        <v>НЕ хватает: упрёмся в мощность KMT</v>
      </c>
      <c r="E42" s="47" t="str">
        <f aca="false">IF(ISNUMBER(Сценарии_BEP!$E$37),IF(Сценарии_BEP!$E$37*(1-Воронка!$E$20)&lt;=Воронка!$E$19,"хватает","НЕ хватает: упрёмся в мощность KMT"),"н/д")</f>
        <v>хватает</v>
      </c>
      <c r="F42" s="48" t="s">
        <v>465</v>
      </c>
    </row>
    <row r="43" customFormat="false" ht="15" hidden="false" customHeight="false" outlineLevel="0" collapsed="false">
      <c r="B43" s="46" t="s">
        <v>466</v>
      </c>
      <c r="C43" s="53" t="n">
        <f aca="false">IF(ISNUMBER(Сценарии_BEP!$C$39),Воронка!$C$6/Сценарии_BEP!$C$39,"н/д")</f>
        <v>0.0123428571428571</v>
      </c>
      <c r="D43" s="53" t="n">
        <f aca="false">IF(ISNUMBER(Сценарии_BEP!$D$39),Воронка!$D$6/Сценарии_BEP!$D$39,"н/д")</f>
        <v>0.0586285714285714</v>
      </c>
      <c r="E43" s="53" t="n">
        <f aca="false">IF(ISNUMBER(Сценарии_BEP!$E$39),Воронка!$E$6/Сценарии_BEP!$E$39,"н/д")</f>
        <v>0.324</v>
      </c>
      <c r="F43" s="48" t="s">
        <v>467</v>
      </c>
    </row>
    <row r="44" customFormat="false" ht="15" hidden="false" customHeight="false" outlineLevel="0" collapsed="false">
      <c r="B44" s="46" t="s">
        <v>468</v>
      </c>
      <c r="C44" s="47" t="n">
        <f aca="false">Воронка!$C$28-Сценарии_BEP!$C$9</f>
        <v>-7392000</v>
      </c>
      <c r="D44" s="47" t="n">
        <f aca="false">Воронка!$D$28-Сценарии_BEP!$D$9</f>
        <v>-6987000</v>
      </c>
      <c r="E44" s="47" t="n">
        <f aca="false">Воронка!$E$28-Сценарии_BEP!$E$9</f>
        <v>-4665000</v>
      </c>
    </row>
    <row r="45" customFormat="false" ht="15" hidden="false" customHeight="false" outlineLevel="0" collapsed="false">
      <c r="B45" s="3" t="s">
        <v>469</v>
      </c>
      <c r="C45" s="49" t="n">
        <f aca="false">Воронка!$C$28-Сценарии_BEP!$C$21</f>
        <v>-8642000</v>
      </c>
      <c r="D45" s="49" t="n">
        <f aca="false">Воронка!$D$28-Сценарии_BEP!$D$21</f>
        <v>-8237000</v>
      </c>
      <c r="E45" s="49" t="n">
        <f aca="false">Воронка!$E$28-Сценарии_BEP!$E$21</f>
        <v>-5915000</v>
      </c>
      <c r="F45" s="48" t="s">
        <v>470</v>
      </c>
    </row>
    <row r="46" customFormat="false" ht="15" hidden="false" customHeight="false" outlineLevel="0" collapsed="false">
      <c r="B46" s="3" t="s">
        <v>471</v>
      </c>
      <c r="C46" s="49" t="n">
        <f aca="false">Воронка!$C$26-Сценарии_BEP!$C$21</f>
        <v>-8682095</v>
      </c>
      <c r="D46" s="49" t="n">
        <f aca="false">Воронка!$D$26-Сценарии_BEP!$D$21</f>
        <v>-8478380</v>
      </c>
      <c r="E46" s="49" t="n">
        <f aca="false">Воронка!$E$26-Сценарии_BEP!$E$21</f>
        <v>-7731425</v>
      </c>
      <c r="F46" s="48" t="s">
        <v>472</v>
      </c>
    </row>
    <row r="47" customFormat="false" ht="15" hidden="false" customHeight="false" outlineLevel="0" collapsed="false">
      <c r="B47" s="46" t="s">
        <v>473</v>
      </c>
      <c r="C47" s="52" t="str">
        <f aca="false">IF(Сценарии_BEP!$C$29&lt;=0,"нет данных о затратах на разработку",IF(Сценарии_BEP!$C$45&gt;0,Сценарии_BEP!$C$29/Сценарии_BEP!$C$45,"не окупается"))</f>
        <v>не окупается</v>
      </c>
      <c r="D47" s="52" t="str">
        <f aca="false">IF(Сценарии_BEP!$D$29&lt;=0,"нет данных о затратах на разработку",IF(Сценарии_BEP!$D$45&gt;0,Сценарии_BEP!$D$29/Сценарии_BEP!$D$45,"не окупается"))</f>
        <v>не окупается</v>
      </c>
      <c r="E47" s="52" t="str">
        <f aca="false">IF(Сценарии_BEP!$E$29&lt;=0,"нет данных о затратах на разработку",IF(Сценарии_BEP!$E$45&gt;0,Сценарии_BEP!$E$29/Сценарии_BEP!$E$45,"не окупается"))</f>
        <v>не окупается</v>
      </c>
      <c r="F47" s="48" t="s">
        <v>474</v>
      </c>
    </row>
    <row r="48" customFormat="false" ht="15" hidden="false" customHeight="false" outlineLevel="0" collapsed="false">
      <c r="B48" s="46" t="s">
        <v>475</v>
      </c>
      <c r="C48" s="52" t="str">
        <f aca="false">IF(Сценарии_BEP!$C$29&lt;=0,"нет данных о затратах на разработку",IF(Сценарии_BEP!$C$46&gt;0,Сценарии_BEP!$C$29/Сценарии_BEP!$C$46,"не окупается"))</f>
        <v>не окупается</v>
      </c>
      <c r="D48" s="52" t="str">
        <f aca="false">IF(Сценарии_BEP!$D$29&lt;=0,"нет данных о затратах на разработку",IF(Сценарии_BEP!$D$46&gt;0,Сценарии_BEP!$D$29/Сценарии_BEP!$D$46,"не окупается"))</f>
        <v>не окупается</v>
      </c>
      <c r="E48" s="52" t="str">
        <f aca="false">IF(Сценарии_BEP!$E$29&lt;=0,"нет данных о затратах на разработку",IF(Сценарии_BEP!$E$46&gt;0,Сценарии_BEP!$E$29/Сценарии_BEP!$E$46,"не окупается"))</f>
        <v>не окупается</v>
      </c>
    </row>
    <row r="49" customFormat="false" ht="15" hidden="false" customHeight="false" outlineLevel="0" collapsed="false">
      <c r="B49" s="46" t="s">
        <v>476</v>
      </c>
      <c r="C49" s="57" t="n">
        <f aca="false">N('Входные данные'!$E$53)</f>
        <v>3</v>
      </c>
      <c r="D49" s="57" t="n">
        <f aca="false">N('Входные данные'!$F$53)</f>
        <v>3</v>
      </c>
      <c r="E49" s="57" t="n">
        <f aca="false">N('Входные данные'!$G$53)</f>
        <v>3</v>
      </c>
      <c r="F49" s="48" t="s">
        <v>477</v>
      </c>
    </row>
    <row r="50" customFormat="false" ht="15" hidden="false" customHeight="false" outlineLevel="0" collapsed="false">
      <c r="B50" s="3" t="s">
        <v>478</v>
      </c>
      <c r="C50" s="49" t="str">
        <f aca="false">IF(ISNUMBER(Сценарии_BEP!$C$47),IF(Сценарии_BEP!$C$47&lt;=Сценарии_BEP!$C$49,"да","нет"),"нет")</f>
        <v>нет</v>
      </c>
      <c r="D50" s="49" t="str">
        <f aca="false">IF(ISNUMBER(Сценарии_BEP!$D$47),IF(Сценарии_BEP!$D$47&lt;=Сценарии_BEP!$D$49,"да","нет"),"нет")</f>
        <v>нет</v>
      </c>
      <c r="E50" s="49" t="str">
        <f aca="false">IF(ISNUMBER(Сценарии_BEP!$E$47),IF(Сценарии_BEP!$E$47&lt;=Сценарии_BEP!$E$49,"да","нет"),"нет")</f>
        <v>нет</v>
      </c>
      <c r="F50" s="48" t="s">
        <v>479</v>
      </c>
    </row>
    <row r="52" customFormat="false" ht="15" hidden="false" customHeight="false" outlineLevel="0" collapsed="false">
      <c r="B52" s="44" t="s">
        <v>480</v>
      </c>
      <c r="C52" s="45"/>
      <c r="D52" s="45"/>
      <c r="E52" s="45"/>
      <c r="F52" s="45"/>
    </row>
    <row r="53" customFormat="false" ht="15" hidden="false" customHeight="false" outlineLevel="0" collapsed="false">
      <c r="B53" s="46" t="s">
        <v>481</v>
      </c>
      <c r="C53" s="52" t="n">
        <f aca="false">P76</f>
        <v>7.7625</v>
      </c>
      <c r="D53" s="52" t="n">
        <f aca="false">P102</f>
        <v>31.05</v>
      </c>
      <c r="E53" s="52" t="n">
        <f aca="false">P128</f>
        <v>116.4375</v>
      </c>
    </row>
    <row r="54" customFormat="false" ht="15" hidden="false" customHeight="false" outlineLevel="0" collapsed="false">
      <c r="B54" s="46" t="s">
        <v>482</v>
      </c>
      <c r="C54" s="52" t="n">
        <f aca="false">P78</f>
        <v>6.345</v>
      </c>
      <c r="D54" s="52" t="n">
        <f aca="false">P104</f>
        <v>19.71</v>
      </c>
      <c r="E54" s="52" t="n">
        <f aca="false">P130</f>
        <v>52.4</v>
      </c>
    </row>
    <row r="55" customFormat="false" ht="15" hidden="false" customHeight="false" outlineLevel="0" collapsed="false">
      <c r="B55" s="46" t="s">
        <v>483</v>
      </c>
      <c r="C55" s="52" t="n">
        <f aca="false">P80</f>
        <v>1.4175</v>
      </c>
      <c r="D55" s="52" t="n">
        <f aca="false">P106</f>
        <v>11.34</v>
      </c>
      <c r="E55" s="52" t="n">
        <f aca="false">P132</f>
        <v>63.7875</v>
      </c>
    </row>
    <row r="56" customFormat="false" ht="15" hidden="false" customHeight="false" outlineLevel="0" collapsed="false">
      <c r="B56" s="46" t="s">
        <v>484</v>
      </c>
      <c r="C56" s="52" t="n">
        <f aca="false">P79</f>
        <v>0</v>
      </c>
      <c r="D56" s="52" t="n">
        <f aca="false">P105</f>
        <v>0</v>
      </c>
      <c r="E56" s="52" t="n">
        <f aca="false">P131</f>
        <v>0.250000000000004</v>
      </c>
    </row>
    <row r="57" customFormat="false" ht="15" hidden="false" customHeight="false" outlineLevel="0" collapsed="false">
      <c r="B57" s="46" t="s">
        <v>485</v>
      </c>
      <c r="C57" s="47" t="n">
        <f aca="false">P82</f>
        <v>788940</v>
      </c>
      <c r="D57" s="47" t="n">
        <f aca="false">P108</f>
        <v>3144420</v>
      </c>
      <c r="E57" s="47" t="n">
        <f aca="false">P134</f>
        <v>11723550</v>
      </c>
    </row>
    <row r="58" customFormat="false" ht="15" hidden="false" customHeight="false" outlineLevel="0" collapsed="false">
      <c r="B58" s="46" t="s">
        <v>486</v>
      </c>
      <c r="C58" s="47" t="n">
        <f aca="false">P84</f>
        <v>2045250</v>
      </c>
      <c r="D58" s="47" t="n">
        <f aca="false">P110</f>
        <v>9018000</v>
      </c>
      <c r="E58" s="47" t="n">
        <f aca="false">P136</f>
        <v>43058750</v>
      </c>
    </row>
    <row r="59" customFormat="false" ht="15" hidden="false" customHeight="false" outlineLevel="0" collapsed="false">
      <c r="B59" s="46" t="s">
        <v>487</v>
      </c>
      <c r="C59" s="47" t="n">
        <f aca="false">P85</f>
        <v>105000000</v>
      </c>
      <c r="D59" s="47" t="n">
        <f aca="false">P111</f>
        <v>105000000</v>
      </c>
      <c r="E59" s="47" t="n">
        <f aca="false">P137</f>
        <v>105000000</v>
      </c>
    </row>
    <row r="60" customFormat="false" ht="15" hidden="false" customHeight="false" outlineLevel="0" collapsed="false">
      <c r="B60" s="3" t="s">
        <v>488</v>
      </c>
      <c r="C60" s="49" t="n">
        <f aca="false">P86</f>
        <v>-102954750</v>
      </c>
      <c r="D60" s="49" t="n">
        <f aca="false">P112</f>
        <v>-95982000</v>
      </c>
      <c r="E60" s="49" t="n">
        <f aca="false">P138</f>
        <v>-61941250</v>
      </c>
    </row>
    <row r="61" customFormat="false" ht="15" hidden="false" customHeight="false" outlineLevel="0" collapsed="false">
      <c r="B61" s="46" t="s">
        <v>489</v>
      </c>
      <c r="C61" s="47" t="n">
        <f aca="false">P87</f>
        <v>-104211060</v>
      </c>
      <c r="D61" s="47" t="n">
        <f aca="false">P113</f>
        <v>-101855580</v>
      </c>
      <c r="E61" s="47" t="n">
        <f aca="false">P139</f>
        <v>-93276450</v>
      </c>
    </row>
    <row r="62" customFormat="false" ht="15" hidden="false" customHeight="false" outlineLevel="0" collapsed="false">
      <c r="B62" s="3" t="s">
        <v>490</v>
      </c>
      <c r="C62" s="49" t="n">
        <f aca="false">O91</f>
        <v>-182454750</v>
      </c>
      <c r="D62" s="49" t="n">
        <f aca="false">O117</f>
        <v>-167982000</v>
      </c>
      <c r="E62" s="49" t="n">
        <f aca="false">O143</f>
        <v>-126441250</v>
      </c>
    </row>
    <row r="63" customFormat="false" ht="15" hidden="false" customHeight="false" outlineLevel="0" collapsed="false">
      <c r="B63" s="46" t="s">
        <v>491</v>
      </c>
      <c r="C63" s="47" t="n">
        <f aca="false">O92</f>
        <v>-183711060</v>
      </c>
      <c r="D63" s="47" t="n">
        <f aca="false">O118</f>
        <v>-173855580</v>
      </c>
      <c r="E63" s="47" t="n">
        <f aca="false">O144</f>
        <v>-157776450</v>
      </c>
    </row>
    <row r="64" customFormat="false" ht="15" hidden="false" customHeight="false" outlineLevel="0" collapsed="false">
      <c r="B64" s="46" t="s">
        <v>492</v>
      </c>
      <c r="C64" s="57" t="str">
        <f aca="false">IF(COUNT(D93:O93)=0,"не окупается за 12 мес",MIN(D93:O93))</f>
        <v>не окупается за 12 мес</v>
      </c>
      <c r="D64" s="57" t="str">
        <f aca="false">IF(COUNT(D119:O119)=0,"не окупается за 12 мес",MIN(D119:O119))</f>
        <v>не окупается за 12 мес</v>
      </c>
      <c r="E64" s="57" t="str">
        <f aca="false">IF(COUNT(D145:O145)=0,"не окупается за 12 мес",MIN(D145:O145))</f>
        <v>не окупается за 12 мес</v>
      </c>
    </row>
    <row r="65" customFormat="false" ht="15" hidden="false" customHeight="false" outlineLevel="0" collapsed="false">
      <c r="B65" s="46" t="s">
        <v>493</v>
      </c>
      <c r="C65" s="57" t="str">
        <f aca="false">IF(COUNT(D94:O94)=0,"не окупается за 12 мес",MIN(D94:O94))</f>
        <v>не окупается за 12 мес</v>
      </c>
      <c r="D65" s="57" t="str">
        <f aca="false">IF(COUNT(D120:O120)=0,"не окупается за 12 мес",MIN(D120:O120))</f>
        <v>не окупается за 12 мес</v>
      </c>
      <c r="E65" s="57" t="str">
        <f aca="false">IF(COUNT(D146:O146)=0,"не окупается за 12 мес",MIN(D146:O146))</f>
        <v>не окупается за 12 мес</v>
      </c>
    </row>
    <row r="66" customFormat="false" ht="15" hidden="false" customHeight="false" outlineLevel="0" collapsed="false">
      <c r="B66" s="46" t="s">
        <v>494</v>
      </c>
      <c r="C66" s="57" t="str">
        <f aca="false">IF(COUNT(D95:O95)=0,"не окупается за 12 мес",MIN(D95:O95))</f>
        <v>не окупается за 12 мес</v>
      </c>
      <c r="D66" s="57" t="str">
        <f aca="false">IF(COUNT(D121:O121)=0,"не окупается за 12 мес",MIN(D121:O121))</f>
        <v>не окупается за 12 мес</v>
      </c>
      <c r="E66" s="57" t="str">
        <f aca="false">IF(COUNT(D147:O147)=0,"не окупается за 12 мес",MIN(D147:O147))</f>
        <v>не окупается за 12 мес</v>
      </c>
    </row>
    <row r="67" customFormat="false" ht="15" hidden="false" customHeight="false" outlineLevel="0" collapsed="false">
      <c r="B67" s="3" t="s">
        <v>495</v>
      </c>
      <c r="C67" s="49" t="str">
        <f aca="false">IF(ISNUMBER(C65),IF(C65&lt;=N('Входные данные'!$E$53),"да","нет"),"нет")</f>
        <v>нет</v>
      </c>
      <c r="D67" s="49" t="str">
        <f aca="false">IF(ISNUMBER(D65),IF(D65&lt;=N('Входные данные'!$F$53),"да","нет"),"нет")</f>
        <v>нет</v>
      </c>
      <c r="E67" s="49" t="str">
        <f aca="false">IF(ISNUMBER(E65),IF(E65&lt;=N('Входные данные'!$G$53),"да","нет"),"нет")</f>
        <v>нет</v>
      </c>
    </row>
    <row r="68" customFormat="false" ht="15" hidden="false" customHeight="false" outlineLevel="0" collapsed="false">
      <c r="B68" s="2" t="s">
        <v>496</v>
      </c>
    </row>
    <row r="72" customFormat="false" ht="15" hidden="false" customHeight="false" outlineLevel="0" collapsed="false">
      <c r="B72" s="44" t="s">
        <v>497</v>
      </c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</row>
    <row r="73" customFormat="false" ht="15" hidden="false" customHeight="false" outlineLevel="0" collapsed="false">
      <c r="B73" s="46" t="s">
        <v>498</v>
      </c>
      <c r="C73" s="3" t="n">
        <v>0</v>
      </c>
      <c r="D73" s="3" t="n">
        <v>1</v>
      </c>
      <c r="E73" s="3" t="n">
        <v>2</v>
      </c>
      <c r="F73" s="3" t="n">
        <v>3</v>
      </c>
      <c r="G73" s="3" t="n">
        <v>4</v>
      </c>
      <c r="H73" s="3" t="n">
        <v>5</v>
      </c>
      <c r="I73" s="3" t="n">
        <v>6</v>
      </c>
      <c r="J73" s="3" t="n">
        <v>7</v>
      </c>
      <c r="K73" s="3" t="n">
        <v>8</v>
      </c>
      <c r="L73" s="3" t="n">
        <v>9</v>
      </c>
      <c r="M73" s="3" t="n">
        <v>10</v>
      </c>
      <c r="N73" s="3" t="n">
        <v>11</v>
      </c>
      <c r="O73" s="3" t="n">
        <v>12</v>
      </c>
      <c r="P73" s="3" t="s">
        <v>499</v>
      </c>
    </row>
    <row r="74" customFormat="false" ht="15" hidden="false" customHeight="false" outlineLevel="0" collapsed="false">
      <c r="B74" s="46" t="s">
        <v>500</v>
      </c>
      <c r="C74" s="58"/>
      <c r="D74" s="58" t="n">
        <f aca="false">IF(N('Входные данные'!$E$60)&lt;=0,1,MIN(1,D73/N('Входные данные'!$E$60)))</f>
        <v>0.5</v>
      </c>
      <c r="E74" s="58" t="n">
        <f aca="false">IF(N('Входные данные'!$E$60)&lt;=0,1,MIN(1,E73/N('Входные данные'!$E$60)))</f>
        <v>1</v>
      </c>
      <c r="F74" s="58" t="n">
        <f aca="false">IF(N('Входные данные'!$E$60)&lt;=0,1,MIN(1,F73/N('Входные данные'!$E$60)))</f>
        <v>1</v>
      </c>
      <c r="G74" s="58" t="n">
        <f aca="false">IF(N('Входные данные'!$E$60)&lt;=0,1,MIN(1,G73/N('Входные данные'!$E$60)))</f>
        <v>1</v>
      </c>
      <c r="H74" s="58" t="n">
        <f aca="false">IF(N('Входные данные'!$E$60)&lt;=0,1,MIN(1,H73/N('Входные данные'!$E$60)))</f>
        <v>1</v>
      </c>
      <c r="I74" s="58" t="n">
        <f aca="false">IF(N('Входные данные'!$E$60)&lt;=0,1,MIN(1,I73/N('Входные данные'!$E$60)))</f>
        <v>1</v>
      </c>
      <c r="J74" s="58" t="n">
        <f aca="false">IF(N('Входные данные'!$E$60)&lt;=0,1,MIN(1,J73/N('Входные данные'!$E$60)))</f>
        <v>1</v>
      </c>
      <c r="K74" s="58" t="n">
        <f aca="false">IF(N('Входные данные'!$E$60)&lt;=0,1,MIN(1,K73/N('Входные данные'!$E$60)))</f>
        <v>1</v>
      </c>
      <c r="L74" s="58" t="n">
        <f aca="false">IF(N('Входные данные'!$E$60)&lt;=0,1,MIN(1,L73/N('Входные данные'!$E$60)))</f>
        <v>1</v>
      </c>
      <c r="M74" s="58" t="n">
        <f aca="false">IF(N('Входные данные'!$E$60)&lt;=0,1,MIN(1,M73/N('Входные данные'!$E$60)))</f>
        <v>1</v>
      </c>
      <c r="N74" s="58" t="n">
        <f aca="false">IF(N('Входные данные'!$E$60)&lt;=0,1,MIN(1,N73/N('Входные данные'!$E$60)))</f>
        <v>1</v>
      </c>
      <c r="O74" s="58" t="n">
        <f aca="false">IF(N('Входные данные'!$E$60)&lt;=0,1,MIN(1,O73/N('Входные данные'!$E$60)))</f>
        <v>1</v>
      </c>
      <c r="P74" s="58"/>
    </row>
    <row r="75" customFormat="false" ht="15" hidden="false" customHeight="false" outlineLevel="0" collapsed="false">
      <c r="B75" s="46" t="s">
        <v>501</v>
      </c>
      <c r="C75" s="59"/>
      <c r="D75" s="59" t="n">
        <f aca="false">Воронка!$C$6*D74</f>
        <v>50</v>
      </c>
      <c r="E75" s="59" t="n">
        <f aca="false">Воронка!$C$6*E74</f>
        <v>100</v>
      </c>
      <c r="F75" s="59" t="n">
        <f aca="false">Воронка!$C$6*F74</f>
        <v>100</v>
      </c>
      <c r="G75" s="59" t="n">
        <f aca="false">Воронка!$C$6*G74</f>
        <v>100</v>
      </c>
      <c r="H75" s="59" t="n">
        <f aca="false">Воронка!$C$6*H74</f>
        <v>100</v>
      </c>
      <c r="I75" s="59" t="n">
        <f aca="false">Воронка!$C$6*I74</f>
        <v>100</v>
      </c>
      <c r="J75" s="59" t="n">
        <f aca="false">Воронка!$C$6*J74</f>
        <v>100</v>
      </c>
      <c r="K75" s="59" t="n">
        <f aca="false">Воронка!$C$6*K74</f>
        <v>100</v>
      </c>
      <c r="L75" s="59" t="n">
        <f aca="false">Воронка!$C$6*L74</f>
        <v>100</v>
      </c>
      <c r="M75" s="59" t="n">
        <f aca="false">Воронка!$C$6*M74</f>
        <v>100</v>
      </c>
      <c r="N75" s="59" t="n">
        <f aca="false">Воронка!$C$6*N74</f>
        <v>100</v>
      </c>
      <c r="O75" s="59" t="n">
        <f aca="false">Воронка!$C$6*O74</f>
        <v>100</v>
      </c>
      <c r="P75" s="59" t="n">
        <f aca="false">SUM(D75:O75)</f>
        <v>1150</v>
      </c>
    </row>
    <row r="76" customFormat="false" ht="15" hidden="false" customHeight="false" outlineLevel="0" collapsed="false">
      <c r="B76" s="46" t="s">
        <v>502</v>
      </c>
      <c r="C76" s="58"/>
      <c r="D76" s="58" t="n">
        <f aca="false">D75*Воронка!$C$13*Воронка!$C$17</f>
        <v>0.3375</v>
      </c>
      <c r="E76" s="58" t="n">
        <f aca="false">E75*Воронка!$C$13*Воронка!$C$17</f>
        <v>0.675</v>
      </c>
      <c r="F76" s="58" t="n">
        <f aca="false">F75*Воронка!$C$13*Воронка!$C$17</f>
        <v>0.675</v>
      </c>
      <c r="G76" s="58" t="n">
        <f aca="false">G75*Воронка!$C$13*Воронка!$C$17</f>
        <v>0.675</v>
      </c>
      <c r="H76" s="58" t="n">
        <f aca="false">H75*Воронка!$C$13*Воронка!$C$17</f>
        <v>0.675</v>
      </c>
      <c r="I76" s="58" t="n">
        <f aca="false">I75*Воронка!$C$13*Воронка!$C$17</f>
        <v>0.675</v>
      </c>
      <c r="J76" s="58" t="n">
        <f aca="false">J75*Воронка!$C$13*Воронка!$C$17</f>
        <v>0.675</v>
      </c>
      <c r="K76" s="58" t="n">
        <f aca="false">K75*Воронка!$C$13*Воронка!$C$17</f>
        <v>0.675</v>
      </c>
      <c r="L76" s="58" t="n">
        <f aca="false">L75*Воронка!$C$13*Воронка!$C$17</f>
        <v>0.675</v>
      </c>
      <c r="M76" s="58" t="n">
        <f aca="false">M75*Воронка!$C$13*Воронка!$C$17</f>
        <v>0.675</v>
      </c>
      <c r="N76" s="58" t="n">
        <f aca="false">N75*Воронка!$C$13*Воронка!$C$17</f>
        <v>0.675</v>
      </c>
      <c r="O76" s="58" t="n">
        <f aca="false">O75*Воронка!$C$13*Воронка!$C$17</f>
        <v>0.675</v>
      </c>
      <c r="P76" s="58" t="n">
        <f aca="false">SUM(D76:O76)</f>
        <v>7.7625</v>
      </c>
    </row>
    <row r="77" customFormat="false" ht="15" hidden="false" customHeight="false" outlineLevel="0" collapsed="false">
      <c r="B77" s="46" t="s">
        <v>503</v>
      </c>
      <c r="C77" s="60"/>
      <c r="D77" s="60" t="n">
        <f aca="false">IF(AND(N('Входные данные'!$E$37)=2,D73&gt;N('Входные данные'!$E$42)),N('Входные данные'!$E$41),0)</f>
        <v>0</v>
      </c>
      <c r="E77" s="60" t="n">
        <f aca="false">IF(AND(N('Входные данные'!$E$37)=2,E73&gt;N('Входные данные'!$E$42)),N('Входные данные'!$E$41),0)</f>
        <v>0</v>
      </c>
      <c r="F77" s="60" t="n">
        <f aca="false">IF(AND(N('Входные данные'!$E$37)=2,F73&gt;N('Входные данные'!$E$42)),N('Входные данные'!$E$41),0)</f>
        <v>0</v>
      </c>
      <c r="G77" s="60" t="n">
        <f aca="false">IF(AND(N('Входные данные'!$E$37)=2,G73&gt;N('Входные данные'!$E$42)),N('Входные данные'!$E$41),0)</f>
        <v>0</v>
      </c>
      <c r="H77" s="60" t="n">
        <f aca="false">IF(AND(N('Входные данные'!$E$37)=2,H73&gt;N('Входные данные'!$E$42)),N('Входные данные'!$E$41),0)</f>
        <v>0</v>
      </c>
      <c r="I77" s="60" t="n">
        <f aca="false">IF(AND(N('Входные данные'!$E$37)=2,I73&gt;N('Входные данные'!$E$42)),N('Входные данные'!$E$41),0)</f>
        <v>0</v>
      </c>
      <c r="J77" s="60" t="n">
        <f aca="false">IF(AND(N('Входные данные'!$E$37)=2,J73&gt;N('Входные данные'!$E$42)),N('Входные данные'!$E$41),0)</f>
        <v>0</v>
      </c>
      <c r="K77" s="60" t="n">
        <f aca="false">IF(AND(N('Входные данные'!$E$37)=2,K73&gt;N('Входные данные'!$E$42)),N('Входные данные'!$E$41),0)</f>
        <v>0</v>
      </c>
      <c r="L77" s="60" t="n">
        <f aca="false">IF(AND(N('Входные данные'!$E$37)=2,L73&gt;N('Входные данные'!$E$42)),N('Входные данные'!$E$41),0)</f>
        <v>0</v>
      </c>
      <c r="M77" s="60" t="n">
        <f aca="false">IF(AND(N('Входные данные'!$E$37)=2,M73&gt;N('Входные данные'!$E$42)),N('Входные данные'!$E$41),0)</f>
        <v>0.7</v>
      </c>
      <c r="N77" s="60" t="n">
        <f aca="false">IF(AND(N('Входные данные'!$E$37)=2,N73&gt;N('Входные данные'!$E$42)),N('Входные данные'!$E$41),0)</f>
        <v>0.7</v>
      </c>
      <c r="O77" s="60" t="n">
        <f aca="false">IF(AND(N('Входные данные'!$E$37)=2,O73&gt;N('Входные данные'!$E$42)),N('Входные данные'!$E$41),0)</f>
        <v>0.7</v>
      </c>
      <c r="P77" s="60"/>
    </row>
    <row r="78" customFormat="false" ht="15" hidden="false" customHeight="false" outlineLevel="0" collapsed="false">
      <c r="B78" s="46" t="s">
        <v>504</v>
      </c>
      <c r="C78" s="58"/>
      <c r="D78" s="58" t="n">
        <f aca="false">MIN(D76*(1-D77),Воронка!$C$19)</f>
        <v>0.3375</v>
      </c>
      <c r="E78" s="58" t="n">
        <f aca="false">MIN(E76*(1-E77),Воронка!$C$19)</f>
        <v>0.675</v>
      </c>
      <c r="F78" s="58" t="n">
        <f aca="false">MIN(F76*(1-F77),Воронка!$C$19)</f>
        <v>0.675</v>
      </c>
      <c r="G78" s="58" t="n">
        <f aca="false">MIN(G76*(1-G77),Воронка!$C$19)</f>
        <v>0.675</v>
      </c>
      <c r="H78" s="58" t="n">
        <f aca="false">MIN(H76*(1-H77),Воронка!$C$19)</f>
        <v>0.675</v>
      </c>
      <c r="I78" s="58" t="n">
        <f aca="false">MIN(I76*(1-I77),Воронка!$C$19)</f>
        <v>0.675</v>
      </c>
      <c r="J78" s="58" t="n">
        <f aca="false">MIN(J76*(1-J77),Воронка!$C$19)</f>
        <v>0.675</v>
      </c>
      <c r="K78" s="58" t="n">
        <f aca="false">MIN(K76*(1-K77),Воронка!$C$19)</f>
        <v>0.675</v>
      </c>
      <c r="L78" s="58" t="n">
        <f aca="false">MIN(L76*(1-L77),Воронка!$C$19)</f>
        <v>0.675</v>
      </c>
      <c r="M78" s="58" t="n">
        <f aca="false">MIN(M76*(1-M77),Воронка!$C$19)</f>
        <v>0.2025</v>
      </c>
      <c r="N78" s="58" t="n">
        <f aca="false">MIN(N76*(1-N77),Воронка!$C$19)</f>
        <v>0.2025</v>
      </c>
      <c r="O78" s="58" t="n">
        <f aca="false">MIN(O76*(1-O77),Воронка!$C$19)</f>
        <v>0.2025</v>
      </c>
      <c r="P78" s="58" t="n">
        <f aca="false">SUM(D78:O78)</f>
        <v>6.345</v>
      </c>
    </row>
    <row r="79" customFormat="false" ht="15" hidden="false" customHeight="false" outlineLevel="0" collapsed="false">
      <c r="B79" s="46" t="s">
        <v>505</v>
      </c>
      <c r="C79" s="58"/>
      <c r="D79" s="58" t="n">
        <f aca="false">D76*(1-D77)-D78</f>
        <v>0</v>
      </c>
      <c r="E79" s="58" t="n">
        <f aca="false">E76*(1-E77)-E78</f>
        <v>0</v>
      </c>
      <c r="F79" s="58" t="n">
        <f aca="false">F76*(1-F77)-F78</f>
        <v>0</v>
      </c>
      <c r="G79" s="58" t="n">
        <f aca="false">G76*(1-G77)-G78</f>
        <v>0</v>
      </c>
      <c r="H79" s="58" t="n">
        <f aca="false">H76*(1-H77)-H78</f>
        <v>0</v>
      </c>
      <c r="I79" s="58" t="n">
        <f aca="false">I76*(1-I77)-I78</f>
        <v>0</v>
      </c>
      <c r="J79" s="58" t="n">
        <f aca="false">J76*(1-J77)-J78</f>
        <v>0</v>
      </c>
      <c r="K79" s="58" t="n">
        <f aca="false">K76*(1-K77)-K78</f>
        <v>0</v>
      </c>
      <c r="L79" s="58" t="n">
        <f aca="false">L76*(1-L77)-L78</f>
        <v>0</v>
      </c>
      <c r="M79" s="58" t="n">
        <f aca="false">M76*(1-M77)-M78</f>
        <v>0</v>
      </c>
      <c r="N79" s="58" t="n">
        <f aca="false">N76*(1-N77)-N78</f>
        <v>0</v>
      </c>
      <c r="O79" s="58" t="n">
        <f aca="false">O76*(1-O77)-O78</f>
        <v>0</v>
      </c>
      <c r="P79" s="58" t="n">
        <f aca="false">SUM(D79:O79)</f>
        <v>0</v>
      </c>
    </row>
    <row r="80" customFormat="false" ht="15" hidden="false" customHeight="false" outlineLevel="0" collapsed="false">
      <c r="B80" s="46" t="s">
        <v>506</v>
      </c>
      <c r="C80" s="58"/>
      <c r="D80" s="58" t="n">
        <f aca="false">D76*D77</f>
        <v>0</v>
      </c>
      <c r="E80" s="58" t="n">
        <f aca="false">E76*E77</f>
        <v>0</v>
      </c>
      <c r="F80" s="58" t="n">
        <f aca="false">F76*F77</f>
        <v>0</v>
      </c>
      <c r="G80" s="58" t="n">
        <f aca="false">G76*G77</f>
        <v>0</v>
      </c>
      <c r="H80" s="58" t="n">
        <f aca="false">H76*H77</f>
        <v>0</v>
      </c>
      <c r="I80" s="58" t="n">
        <f aca="false">I76*I77</f>
        <v>0</v>
      </c>
      <c r="J80" s="58" t="n">
        <f aca="false">J76*J77</f>
        <v>0</v>
      </c>
      <c r="K80" s="58" t="n">
        <f aca="false">K76*K77</f>
        <v>0</v>
      </c>
      <c r="L80" s="58" t="n">
        <f aca="false">L76*L77</f>
        <v>0</v>
      </c>
      <c r="M80" s="58" t="n">
        <f aca="false">M76*M77</f>
        <v>0.4725</v>
      </c>
      <c r="N80" s="58" t="n">
        <f aca="false">N76*N77</f>
        <v>0.4725</v>
      </c>
      <c r="O80" s="58" t="n">
        <f aca="false">O76*O77</f>
        <v>0.4725</v>
      </c>
      <c r="P80" s="58" t="n">
        <f aca="false">SUM(D80:O80)</f>
        <v>1.4175</v>
      </c>
    </row>
    <row r="81" customFormat="false" ht="15" hidden="false" customHeight="false" outlineLevel="0" collapsed="false">
      <c r="B81" s="46" t="s">
        <v>507</v>
      </c>
      <c r="C81" s="59"/>
      <c r="D81" s="59" t="n">
        <f aca="false">D78*'Юнит-экономика'!$C$8</f>
        <v>344250</v>
      </c>
      <c r="E81" s="59" t="n">
        <f aca="false">E78*'Юнит-экономика'!$C$8</f>
        <v>688500</v>
      </c>
      <c r="F81" s="59" t="n">
        <f aca="false">F78*'Юнит-экономика'!$C$8</f>
        <v>688500</v>
      </c>
      <c r="G81" s="59" t="n">
        <f aca="false">G78*'Юнит-экономика'!$C$8</f>
        <v>688500</v>
      </c>
      <c r="H81" s="59" t="n">
        <f aca="false">H78*'Юнит-экономика'!$C$8</f>
        <v>688500</v>
      </c>
      <c r="I81" s="59" t="n">
        <f aca="false">I78*'Юнит-экономика'!$C$8</f>
        <v>688500</v>
      </c>
      <c r="J81" s="59" t="n">
        <f aca="false">J78*'Юнит-экономика'!$C$8</f>
        <v>688500</v>
      </c>
      <c r="K81" s="59" t="n">
        <f aca="false">K78*'Юнит-экономика'!$C$8</f>
        <v>688500</v>
      </c>
      <c r="L81" s="59" t="n">
        <f aca="false">L78*'Юнит-экономика'!$C$8</f>
        <v>688500</v>
      </c>
      <c r="M81" s="59" t="n">
        <f aca="false">M78*'Юнит-экономика'!$C$8</f>
        <v>206550</v>
      </c>
      <c r="N81" s="59" t="n">
        <f aca="false">N78*'Юнит-экономика'!$C$8</f>
        <v>206550</v>
      </c>
      <c r="O81" s="59" t="n">
        <f aca="false">O78*'Юнит-экономика'!$C$8</f>
        <v>206550</v>
      </c>
      <c r="P81" s="59" t="n">
        <f aca="false">SUM(D81:O81)</f>
        <v>6471900</v>
      </c>
    </row>
    <row r="82" customFormat="false" ht="15" hidden="false" customHeight="false" outlineLevel="0" collapsed="false">
      <c r="B82" s="46" t="s">
        <v>508</v>
      </c>
      <c r="C82" s="59"/>
      <c r="D82" s="59" t="n">
        <f aca="false">D78*'Юнит-экономика'!$C$29+D80*'Юнит-экономика'!$C$27</f>
        <v>34425</v>
      </c>
      <c r="E82" s="59" t="n">
        <f aca="false">E78*'Юнит-экономика'!$C$29+E80*'Юнит-экономика'!$C$27</f>
        <v>68850</v>
      </c>
      <c r="F82" s="59" t="n">
        <f aca="false">F78*'Юнит-экономика'!$C$29+F80*'Юнит-экономика'!$C$27</f>
        <v>68850</v>
      </c>
      <c r="G82" s="59" t="n">
        <f aca="false">G78*'Юнит-экономика'!$C$29+G80*'Юнит-экономика'!$C$27</f>
        <v>68850</v>
      </c>
      <c r="H82" s="59" t="n">
        <f aca="false">H78*'Юнит-экономика'!$C$29+H80*'Юнит-экономика'!$C$27</f>
        <v>68850</v>
      </c>
      <c r="I82" s="59" t="n">
        <f aca="false">I78*'Юнит-экономика'!$C$29+I80*'Юнит-экономика'!$C$27</f>
        <v>68850</v>
      </c>
      <c r="J82" s="59" t="n">
        <f aca="false">J78*'Юнит-экономика'!$C$29+J80*'Юнит-экономика'!$C$27</f>
        <v>68850</v>
      </c>
      <c r="K82" s="59" t="n">
        <f aca="false">K78*'Юнит-экономика'!$C$29+K80*'Юнит-экономика'!$C$27</f>
        <v>68850</v>
      </c>
      <c r="L82" s="59" t="n">
        <f aca="false">L78*'Юнит-экономика'!$C$29+L80*'Юнит-экономика'!$C$27</f>
        <v>68850</v>
      </c>
      <c r="M82" s="59" t="n">
        <f aca="false">M78*'Юнит-экономика'!$C$29+M80*'Юнит-экономика'!$C$27</f>
        <v>67905</v>
      </c>
      <c r="N82" s="59" t="n">
        <f aca="false">N78*'Юнит-экономика'!$C$29+N80*'Юнит-экономика'!$C$27</f>
        <v>67905</v>
      </c>
      <c r="O82" s="59" t="n">
        <f aca="false">O78*'Юнит-экономика'!$C$29+O80*'Юнит-экономика'!$C$27</f>
        <v>67905</v>
      </c>
      <c r="P82" s="59" t="n">
        <f aca="false">SUM(D82:O82)</f>
        <v>788940</v>
      </c>
    </row>
    <row r="83" customFormat="false" ht="15" hidden="false" customHeight="false" outlineLevel="0" collapsed="false">
      <c r="B83" s="46" t="s">
        <v>509</v>
      </c>
      <c r="C83" s="59"/>
      <c r="D83" s="59" t="n">
        <f aca="false">D78*'Юнит-экономика'!$C$28*(1-N('Входные данные'!$E$44))</f>
        <v>66825</v>
      </c>
      <c r="E83" s="59" t="n">
        <f aca="false">E78*'Юнит-экономика'!$C$28*(1-N('Входные данные'!$E$44))</f>
        <v>133650</v>
      </c>
      <c r="F83" s="59" t="n">
        <f aca="false">F78*'Юнит-экономика'!$C$28*(1-N('Входные данные'!$E$44))</f>
        <v>133650</v>
      </c>
      <c r="G83" s="59" t="n">
        <f aca="false">G78*'Юнит-экономика'!$C$28*(1-N('Входные данные'!$E$44))</f>
        <v>133650</v>
      </c>
      <c r="H83" s="59" t="n">
        <f aca="false">H78*'Юнит-экономика'!$C$28*(1-N('Входные данные'!$E$44))</f>
        <v>133650</v>
      </c>
      <c r="I83" s="59" t="n">
        <f aca="false">I78*'Юнит-экономика'!$C$28*(1-N('Входные данные'!$E$44))</f>
        <v>133650</v>
      </c>
      <c r="J83" s="59" t="n">
        <f aca="false">J78*'Юнит-экономика'!$C$28*(1-N('Входные данные'!$E$44))</f>
        <v>133650</v>
      </c>
      <c r="K83" s="59" t="n">
        <f aca="false">K78*'Юнит-экономика'!$C$28*(1-N('Входные данные'!$E$44))</f>
        <v>133650</v>
      </c>
      <c r="L83" s="59" t="n">
        <f aca="false">L78*'Юнит-экономика'!$C$28*(1-N('Входные данные'!$E$44))</f>
        <v>133650</v>
      </c>
      <c r="M83" s="59" t="n">
        <f aca="false">M78*'Юнит-экономика'!$C$28*(1-N('Входные данные'!$E$44))</f>
        <v>40095</v>
      </c>
      <c r="N83" s="59" t="n">
        <f aca="false">N78*'Юнит-экономика'!$C$28*(1-N('Входные данные'!$E$44))</f>
        <v>40095</v>
      </c>
      <c r="O83" s="59" t="n">
        <f aca="false">O78*'Юнит-экономика'!$C$28*(1-N('Входные данные'!$E$44))</f>
        <v>40095</v>
      </c>
      <c r="P83" s="59" t="n">
        <f aca="false">SUM(D83:O83)</f>
        <v>1256310</v>
      </c>
    </row>
    <row r="84" customFormat="false" ht="15" hidden="false" customHeight="false" outlineLevel="0" collapsed="false">
      <c r="B84" s="46" t="s">
        <v>510</v>
      </c>
      <c r="C84" s="59"/>
      <c r="D84" s="59" t="n">
        <f aca="false">D82+D83</f>
        <v>101250</v>
      </c>
      <c r="E84" s="59" t="n">
        <f aca="false">E82+E83</f>
        <v>202500</v>
      </c>
      <c r="F84" s="59" t="n">
        <f aca="false">F82+F83</f>
        <v>202500</v>
      </c>
      <c r="G84" s="59" t="n">
        <f aca="false">G82+G83</f>
        <v>202500</v>
      </c>
      <c r="H84" s="59" t="n">
        <f aca="false">H82+H83</f>
        <v>202500</v>
      </c>
      <c r="I84" s="59" t="n">
        <f aca="false">I82+I83</f>
        <v>202500</v>
      </c>
      <c r="J84" s="59" t="n">
        <f aca="false">J82+J83</f>
        <v>202500</v>
      </c>
      <c r="K84" s="59" t="n">
        <f aca="false">K82+K83</f>
        <v>202500</v>
      </c>
      <c r="L84" s="59" t="n">
        <f aca="false">L82+L83</f>
        <v>202500</v>
      </c>
      <c r="M84" s="59" t="n">
        <f aca="false">M82+M83</f>
        <v>108000</v>
      </c>
      <c r="N84" s="59" t="n">
        <f aca="false">N82+N83</f>
        <v>108000</v>
      </c>
      <c r="O84" s="59" t="n">
        <f aca="false">O82+O83</f>
        <v>108000</v>
      </c>
      <c r="P84" s="59" t="n">
        <f aca="false">SUM(D84:O84)</f>
        <v>2045250</v>
      </c>
    </row>
    <row r="85" customFormat="false" ht="15" hidden="false" customHeight="false" outlineLevel="0" collapsed="false">
      <c r="B85" s="46" t="s">
        <v>511</v>
      </c>
      <c r="C85" s="59"/>
      <c r="D85" s="59" t="n">
        <f aca="false">Сценарии_BEP!$C$21</f>
        <v>8750000</v>
      </c>
      <c r="E85" s="59" t="n">
        <f aca="false">Сценарии_BEP!$C$21</f>
        <v>8750000</v>
      </c>
      <c r="F85" s="59" t="n">
        <f aca="false">Сценарии_BEP!$C$21</f>
        <v>8750000</v>
      </c>
      <c r="G85" s="59" t="n">
        <f aca="false">Сценарии_BEP!$C$21</f>
        <v>8750000</v>
      </c>
      <c r="H85" s="59" t="n">
        <f aca="false">Сценарии_BEP!$C$21</f>
        <v>8750000</v>
      </c>
      <c r="I85" s="59" t="n">
        <f aca="false">Сценарии_BEP!$C$21</f>
        <v>8750000</v>
      </c>
      <c r="J85" s="59" t="n">
        <f aca="false">Сценарии_BEP!$C$21</f>
        <v>8750000</v>
      </c>
      <c r="K85" s="59" t="n">
        <f aca="false">Сценарии_BEP!$C$21</f>
        <v>8750000</v>
      </c>
      <c r="L85" s="59" t="n">
        <f aca="false">Сценарии_BEP!$C$21</f>
        <v>8750000</v>
      </c>
      <c r="M85" s="59" t="n">
        <f aca="false">Сценарии_BEP!$C$21</f>
        <v>8750000</v>
      </c>
      <c r="N85" s="59" t="n">
        <f aca="false">Сценарии_BEP!$C$21</f>
        <v>8750000</v>
      </c>
      <c r="O85" s="59" t="n">
        <f aca="false">Сценарии_BEP!$C$21</f>
        <v>8750000</v>
      </c>
      <c r="P85" s="59" t="n">
        <f aca="false">SUM(D85:O85)</f>
        <v>105000000</v>
      </c>
    </row>
    <row r="86" customFormat="false" ht="15" hidden="false" customHeight="false" outlineLevel="0" collapsed="false">
      <c r="B86" s="3" t="s">
        <v>512</v>
      </c>
      <c r="C86" s="61"/>
      <c r="D86" s="61" t="n">
        <f aca="false">D84-D85</f>
        <v>-8648750</v>
      </c>
      <c r="E86" s="61" t="n">
        <f aca="false">E84-E85</f>
        <v>-8547500</v>
      </c>
      <c r="F86" s="61" t="n">
        <f aca="false">F84-F85</f>
        <v>-8547500</v>
      </c>
      <c r="G86" s="61" t="n">
        <f aca="false">G84-G85</f>
        <v>-8547500</v>
      </c>
      <c r="H86" s="61" t="n">
        <f aca="false">H84-H85</f>
        <v>-8547500</v>
      </c>
      <c r="I86" s="61" t="n">
        <f aca="false">I84-I85</f>
        <v>-8547500</v>
      </c>
      <c r="J86" s="61" t="n">
        <f aca="false">J84-J85</f>
        <v>-8547500</v>
      </c>
      <c r="K86" s="61" t="n">
        <f aca="false">K84-K85</f>
        <v>-8547500</v>
      </c>
      <c r="L86" s="61" t="n">
        <f aca="false">L84-L85</f>
        <v>-8547500</v>
      </c>
      <c r="M86" s="61" t="n">
        <f aca="false">M84-M85</f>
        <v>-8642000</v>
      </c>
      <c r="N86" s="61" t="n">
        <f aca="false">N84-N85</f>
        <v>-8642000</v>
      </c>
      <c r="O86" s="61" t="n">
        <f aca="false">O84-O85</f>
        <v>-8642000</v>
      </c>
      <c r="P86" s="61" t="n">
        <f aca="false">SUM(D86:O86)</f>
        <v>-102954750</v>
      </c>
    </row>
    <row r="87" customFormat="false" ht="15" hidden="false" customHeight="false" outlineLevel="0" collapsed="false">
      <c r="B87" s="3" t="s">
        <v>513</v>
      </c>
      <c r="C87" s="61"/>
      <c r="D87" s="61" t="n">
        <f aca="false">D82-D85</f>
        <v>-8715575</v>
      </c>
      <c r="E87" s="61" t="n">
        <f aca="false">E82-E85</f>
        <v>-8681150</v>
      </c>
      <c r="F87" s="61" t="n">
        <f aca="false">F82-F85</f>
        <v>-8681150</v>
      </c>
      <c r="G87" s="61" t="n">
        <f aca="false">G82-G85</f>
        <v>-8681150</v>
      </c>
      <c r="H87" s="61" t="n">
        <f aca="false">H82-H85</f>
        <v>-8681150</v>
      </c>
      <c r="I87" s="61" t="n">
        <f aca="false">I82-I85</f>
        <v>-8681150</v>
      </c>
      <c r="J87" s="61" t="n">
        <f aca="false">J82-J85</f>
        <v>-8681150</v>
      </c>
      <c r="K87" s="61" t="n">
        <f aca="false">K82-K85</f>
        <v>-8681150</v>
      </c>
      <c r="L87" s="61" t="n">
        <f aca="false">L82-L85</f>
        <v>-8681150</v>
      </c>
      <c r="M87" s="61" t="n">
        <f aca="false">M82-M85</f>
        <v>-8682095</v>
      </c>
      <c r="N87" s="61" t="n">
        <f aca="false">N82-N85</f>
        <v>-8682095</v>
      </c>
      <c r="O87" s="61" t="n">
        <f aca="false">O82-O85</f>
        <v>-8682095</v>
      </c>
      <c r="P87" s="61" t="n">
        <f aca="false">SUM(D87:O87)</f>
        <v>-104211060</v>
      </c>
    </row>
    <row r="88" customFormat="false" ht="15" hidden="false" customHeight="false" outlineLevel="0" collapsed="false">
      <c r="B88" s="46" t="s">
        <v>514</v>
      </c>
      <c r="C88" s="59" t="n">
        <v>0</v>
      </c>
      <c r="D88" s="59" t="n">
        <f aca="false">C88+D86</f>
        <v>-8648750</v>
      </c>
      <c r="E88" s="59" t="n">
        <f aca="false">D88+E86</f>
        <v>-17196250</v>
      </c>
      <c r="F88" s="59" t="n">
        <f aca="false">E88+F86</f>
        <v>-25743750</v>
      </c>
      <c r="G88" s="59" t="n">
        <f aca="false">F88+G86</f>
        <v>-34291250</v>
      </c>
      <c r="H88" s="59" t="n">
        <f aca="false">G88+H86</f>
        <v>-42838750</v>
      </c>
      <c r="I88" s="59" t="n">
        <f aca="false">H88+I86</f>
        <v>-51386250</v>
      </c>
      <c r="J88" s="59" t="n">
        <f aca="false">I88+J86</f>
        <v>-59933750</v>
      </c>
      <c r="K88" s="59" t="n">
        <f aca="false">J88+K86</f>
        <v>-68481250</v>
      </c>
      <c r="L88" s="59" t="n">
        <f aca="false">K88+L86</f>
        <v>-77028750</v>
      </c>
      <c r="M88" s="59" t="n">
        <f aca="false">L88+M86</f>
        <v>-85670750</v>
      </c>
      <c r="N88" s="59" t="n">
        <f aca="false">M88+N86</f>
        <v>-94312750</v>
      </c>
      <c r="O88" s="59" t="n">
        <f aca="false">N88+O86</f>
        <v>-102954750</v>
      </c>
      <c r="P88" s="59"/>
    </row>
    <row r="89" customFormat="false" ht="15" hidden="false" customHeight="false" outlineLevel="0" collapsed="false">
      <c r="B89" s="46" t="s">
        <v>515</v>
      </c>
      <c r="C89" s="59" t="n">
        <v>0</v>
      </c>
      <c r="D89" s="59" t="n">
        <f aca="false">C89+D87</f>
        <v>-8715575</v>
      </c>
      <c r="E89" s="59" t="n">
        <f aca="false">D89+E87</f>
        <v>-17396725</v>
      </c>
      <c r="F89" s="59" t="n">
        <f aca="false">E89+F87</f>
        <v>-26077875</v>
      </c>
      <c r="G89" s="59" t="n">
        <f aca="false">F89+G87</f>
        <v>-34759025</v>
      </c>
      <c r="H89" s="59" t="n">
        <f aca="false">G89+H87</f>
        <v>-43440175</v>
      </c>
      <c r="I89" s="59" t="n">
        <f aca="false">H89+I87</f>
        <v>-52121325</v>
      </c>
      <c r="J89" s="59" t="n">
        <f aca="false">I89+J87</f>
        <v>-60802475</v>
      </c>
      <c r="K89" s="59" t="n">
        <f aca="false">J89+K87</f>
        <v>-69483625</v>
      </c>
      <c r="L89" s="59" t="n">
        <f aca="false">K89+L87</f>
        <v>-78164775</v>
      </c>
      <c r="M89" s="59" t="n">
        <f aca="false">L89+M87</f>
        <v>-86846870</v>
      </c>
      <c r="N89" s="59" t="n">
        <f aca="false">M89+N87</f>
        <v>-95528965</v>
      </c>
      <c r="O89" s="59" t="n">
        <f aca="false">N89+O87</f>
        <v>-104211060</v>
      </c>
      <c r="P89" s="59"/>
    </row>
    <row r="90" customFormat="false" ht="15" hidden="false" customHeight="false" outlineLevel="0" collapsed="false">
      <c r="B90" s="46" t="s">
        <v>516</v>
      </c>
      <c r="C90" s="59" t="n">
        <f aca="false">-Сценарии_BEP!$C$29</f>
        <v>-79500000</v>
      </c>
      <c r="D90" s="59" t="n">
        <v>0</v>
      </c>
      <c r="E90" s="59" t="n">
        <v>0</v>
      </c>
      <c r="F90" s="59" t="n">
        <v>0</v>
      </c>
      <c r="G90" s="59" t="n">
        <v>0</v>
      </c>
      <c r="H90" s="59" t="n">
        <v>0</v>
      </c>
      <c r="I90" s="59" t="n">
        <v>0</v>
      </c>
      <c r="J90" s="59" t="n">
        <v>0</v>
      </c>
      <c r="K90" s="59" t="n">
        <v>0</v>
      </c>
      <c r="L90" s="59" t="n">
        <v>0</v>
      </c>
      <c r="M90" s="59" t="n">
        <v>0</v>
      </c>
      <c r="N90" s="59" t="n">
        <v>0</v>
      </c>
      <c r="O90" s="59" t="n">
        <v>0</v>
      </c>
      <c r="P90" s="59" t="n">
        <f aca="false">C90</f>
        <v>-79500000</v>
      </c>
    </row>
    <row r="91" customFormat="false" ht="15" hidden="false" customHeight="false" outlineLevel="0" collapsed="false">
      <c r="B91" s="3" t="s">
        <v>517</v>
      </c>
      <c r="C91" s="61" t="n">
        <f aca="false">C90</f>
        <v>-79500000</v>
      </c>
      <c r="D91" s="61" t="n">
        <f aca="false">C91+D86+D90</f>
        <v>-88148750</v>
      </c>
      <c r="E91" s="61" t="n">
        <f aca="false">D91+E86+E90</f>
        <v>-96696250</v>
      </c>
      <c r="F91" s="61" t="n">
        <f aca="false">E91+F86+F90</f>
        <v>-105243750</v>
      </c>
      <c r="G91" s="61" t="n">
        <f aca="false">F91+G86+G90</f>
        <v>-113791250</v>
      </c>
      <c r="H91" s="61" t="n">
        <f aca="false">G91+H86+H90</f>
        <v>-122338750</v>
      </c>
      <c r="I91" s="61" t="n">
        <f aca="false">H91+I86+I90</f>
        <v>-130886250</v>
      </c>
      <c r="J91" s="61" t="n">
        <f aca="false">I91+J86+J90</f>
        <v>-139433750</v>
      </c>
      <c r="K91" s="61" t="n">
        <f aca="false">J91+K86+K90</f>
        <v>-147981250</v>
      </c>
      <c r="L91" s="61" t="n">
        <f aca="false">K91+L86+L90</f>
        <v>-156528750</v>
      </c>
      <c r="M91" s="61" t="n">
        <f aca="false">L91+M86+M90</f>
        <v>-165170750</v>
      </c>
      <c r="N91" s="61" t="n">
        <f aca="false">M91+N86+N90</f>
        <v>-173812750</v>
      </c>
      <c r="O91" s="61" t="n">
        <f aca="false">N91+O86+O90</f>
        <v>-182454750</v>
      </c>
      <c r="P91" s="61"/>
    </row>
    <row r="92" customFormat="false" ht="15" hidden="false" customHeight="false" outlineLevel="0" collapsed="false">
      <c r="B92" s="3" t="s">
        <v>518</v>
      </c>
      <c r="C92" s="61" t="n">
        <f aca="false">C90</f>
        <v>-79500000</v>
      </c>
      <c r="D92" s="61" t="n">
        <f aca="false">C92+D87+D90</f>
        <v>-88215575</v>
      </c>
      <c r="E92" s="61" t="n">
        <f aca="false">D92+E87+E90</f>
        <v>-96896725</v>
      </c>
      <c r="F92" s="61" t="n">
        <f aca="false">E92+F87+F90</f>
        <v>-105577875</v>
      </c>
      <c r="G92" s="61" t="n">
        <f aca="false">F92+G87+G90</f>
        <v>-114259025</v>
      </c>
      <c r="H92" s="61" t="n">
        <f aca="false">G92+H87+H90</f>
        <v>-122940175</v>
      </c>
      <c r="I92" s="61" t="n">
        <f aca="false">H92+I87+I90</f>
        <v>-131621325</v>
      </c>
      <c r="J92" s="61" t="n">
        <f aca="false">I92+J87+J90</f>
        <v>-140302475</v>
      </c>
      <c r="K92" s="61" t="n">
        <f aca="false">J92+K87+K90</f>
        <v>-148983625</v>
      </c>
      <c r="L92" s="61" t="n">
        <f aca="false">K92+L87+L90</f>
        <v>-157664775</v>
      </c>
      <c r="M92" s="61" t="n">
        <f aca="false">L92+M87+M90</f>
        <v>-166346870</v>
      </c>
      <c r="N92" s="61" t="n">
        <f aca="false">M92+N87+N90</f>
        <v>-175028965</v>
      </c>
      <c r="O92" s="61" t="n">
        <f aca="false">N92+O87+O90</f>
        <v>-183711060</v>
      </c>
      <c r="P92" s="61"/>
    </row>
    <row r="93" customFormat="false" ht="15" hidden="false" customHeight="false" outlineLevel="0" collapsed="false">
      <c r="B93" s="46" t="s">
        <v>519</v>
      </c>
      <c r="C93" s="59"/>
      <c r="D93" s="59" t="str">
        <f aca="false">IF(D88&gt;=0,D73,"")</f>
        <v/>
      </c>
      <c r="E93" s="59" t="str">
        <f aca="false">IF(E88&gt;=0,E73,"")</f>
        <v/>
      </c>
      <c r="F93" s="59" t="str">
        <f aca="false">IF(F88&gt;=0,F73,"")</f>
        <v/>
      </c>
      <c r="G93" s="59" t="str">
        <f aca="false">IF(G88&gt;=0,G73,"")</f>
        <v/>
      </c>
      <c r="H93" s="59" t="str">
        <f aca="false">IF(H88&gt;=0,H73,"")</f>
        <v/>
      </c>
      <c r="I93" s="59" t="str">
        <f aca="false">IF(I88&gt;=0,I73,"")</f>
        <v/>
      </c>
      <c r="J93" s="59" t="str">
        <f aca="false">IF(J88&gt;=0,J73,"")</f>
        <v/>
      </c>
      <c r="K93" s="59" t="str">
        <f aca="false">IF(K88&gt;=0,K73,"")</f>
        <v/>
      </c>
      <c r="L93" s="59" t="str">
        <f aca="false">IF(L88&gt;=0,L73,"")</f>
        <v/>
      </c>
      <c r="M93" s="59" t="str">
        <f aca="false">IF(M88&gt;=0,M73,"")</f>
        <v/>
      </c>
      <c r="N93" s="59" t="str">
        <f aca="false">IF(N88&gt;=0,N73,"")</f>
        <v/>
      </c>
      <c r="O93" s="59" t="str">
        <f aca="false">IF(O88&gt;=0,O73,"")</f>
        <v/>
      </c>
      <c r="P93" s="59"/>
    </row>
    <row r="94" customFormat="false" ht="15" hidden="false" customHeight="false" outlineLevel="0" collapsed="false">
      <c r="B94" s="46" t="s">
        <v>520</v>
      </c>
      <c r="C94" s="59"/>
      <c r="D94" s="59" t="str">
        <f aca="false">IF(D91&gt;=0,D73,"")</f>
        <v/>
      </c>
      <c r="E94" s="59" t="str">
        <f aca="false">IF(E91&gt;=0,E73,"")</f>
        <v/>
      </c>
      <c r="F94" s="59" t="str">
        <f aca="false">IF(F91&gt;=0,F73,"")</f>
        <v/>
      </c>
      <c r="G94" s="59" t="str">
        <f aca="false">IF(G91&gt;=0,G73,"")</f>
        <v/>
      </c>
      <c r="H94" s="59" t="str">
        <f aca="false">IF(H91&gt;=0,H73,"")</f>
        <v/>
      </c>
      <c r="I94" s="59" t="str">
        <f aca="false">IF(I91&gt;=0,I73,"")</f>
        <v/>
      </c>
      <c r="J94" s="59" t="str">
        <f aca="false">IF(J91&gt;=0,J73,"")</f>
        <v/>
      </c>
      <c r="K94" s="59" t="str">
        <f aca="false">IF(K91&gt;=0,K73,"")</f>
        <v/>
      </c>
      <c r="L94" s="59" t="str">
        <f aca="false">IF(L91&gt;=0,L73,"")</f>
        <v/>
      </c>
      <c r="M94" s="59" t="str">
        <f aca="false">IF(M91&gt;=0,M73,"")</f>
        <v/>
      </c>
      <c r="N94" s="59" t="str">
        <f aca="false">IF(N91&gt;=0,N73,"")</f>
        <v/>
      </c>
      <c r="O94" s="59" t="str">
        <f aca="false">IF(O91&gt;=0,O73,"")</f>
        <v/>
      </c>
      <c r="P94" s="59"/>
    </row>
    <row r="95" customFormat="false" ht="15" hidden="false" customHeight="false" outlineLevel="0" collapsed="false">
      <c r="B95" s="46" t="s">
        <v>521</v>
      </c>
      <c r="C95" s="59"/>
      <c r="D95" s="59" t="str">
        <f aca="false">IF(D92&gt;=0,D73,"")</f>
        <v/>
      </c>
      <c r="E95" s="59" t="str">
        <f aca="false">IF(E92&gt;=0,E73,"")</f>
        <v/>
      </c>
      <c r="F95" s="59" t="str">
        <f aca="false">IF(F92&gt;=0,F73,"")</f>
        <v/>
      </c>
      <c r="G95" s="59" t="str">
        <f aca="false">IF(G92&gt;=0,G73,"")</f>
        <v/>
      </c>
      <c r="H95" s="59" t="str">
        <f aca="false">IF(H92&gt;=0,H73,"")</f>
        <v/>
      </c>
      <c r="I95" s="59" t="str">
        <f aca="false">IF(I92&gt;=0,I73,"")</f>
        <v/>
      </c>
      <c r="J95" s="59" t="str">
        <f aca="false">IF(J92&gt;=0,J73,"")</f>
        <v/>
      </c>
      <c r="K95" s="59" t="str">
        <f aca="false">IF(K92&gt;=0,K73,"")</f>
        <v/>
      </c>
      <c r="L95" s="59" t="str">
        <f aca="false">IF(L92&gt;=0,L73,"")</f>
        <v/>
      </c>
      <c r="M95" s="59" t="str">
        <f aca="false">IF(M92&gt;=0,M73,"")</f>
        <v/>
      </c>
      <c r="N95" s="59" t="str">
        <f aca="false">IF(N92&gt;=0,N73,"")</f>
        <v/>
      </c>
      <c r="O95" s="59" t="str">
        <f aca="false">IF(O92&gt;=0,O73,"")</f>
        <v/>
      </c>
      <c r="P95" s="59"/>
    </row>
    <row r="98" customFormat="false" ht="15" hidden="false" customHeight="false" outlineLevel="0" collapsed="false">
      <c r="B98" s="44" t="s">
        <v>522</v>
      </c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</row>
    <row r="99" customFormat="false" ht="15" hidden="false" customHeight="false" outlineLevel="0" collapsed="false">
      <c r="B99" s="46" t="s">
        <v>498</v>
      </c>
      <c r="C99" s="3" t="n">
        <v>0</v>
      </c>
      <c r="D99" s="3" t="n">
        <v>1</v>
      </c>
      <c r="E99" s="3" t="n">
        <v>2</v>
      </c>
      <c r="F99" s="3" t="n">
        <v>3</v>
      </c>
      <c r="G99" s="3" t="n">
        <v>4</v>
      </c>
      <c r="H99" s="3" t="n">
        <v>5</v>
      </c>
      <c r="I99" s="3" t="n">
        <v>6</v>
      </c>
      <c r="J99" s="3" t="n">
        <v>7</v>
      </c>
      <c r="K99" s="3" t="n">
        <v>8</v>
      </c>
      <c r="L99" s="3" t="n">
        <v>9</v>
      </c>
      <c r="M99" s="3" t="n">
        <v>10</v>
      </c>
      <c r="N99" s="3" t="n">
        <v>11</v>
      </c>
      <c r="O99" s="3" t="n">
        <v>12</v>
      </c>
      <c r="P99" s="3" t="s">
        <v>499</v>
      </c>
    </row>
    <row r="100" customFormat="false" ht="15" hidden="false" customHeight="false" outlineLevel="0" collapsed="false">
      <c r="B100" s="46" t="s">
        <v>500</v>
      </c>
      <c r="C100" s="58"/>
      <c r="D100" s="58" t="n">
        <f aca="false">IF(N('Входные данные'!$F$60)&lt;=0,1,MIN(1,D99/N('Входные данные'!$F$60)))</f>
        <v>0.5</v>
      </c>
      <c r="E100" s="58" t="n">
        <f aca="false">IF(N('Входные данные'!$F$60)&lt;=0,1,MIN(1,E99/N('Входные данные'!$F$60)))</f>
        <v>1</v>
      </c>
      <c r="F100" s="58" t="n">
        <f aca="false">IF(N('Входные данные'!$F$60)&lt;=0,1,MIN(1,F99/N('Входные данные'!$F$60)))</f>
        <v>1</v>
      </c>
      <c r="G100" s="58" t="n">
        <f aca="false">IF(N('Входные данные'!$F$60)&lt;=0,1,MIN(1,G99/N('Входные данные'!$F$60)))</f>
        <v>1</v>
      </c>
      <c r="H100" s="58" t="n">
        <f aca="false">IF(N('Входные данные'!$F$60)&lt;=0,1,MIN(1,H99/N('Входные данные'!$F$60)))</f>
        <v>1</v>
      </c>
      <c r="I100" s="58" t="n">
        <f aca="false">IF(N('Входные данные'!$F$60)&lt;=0,1,MIN(1,I99/N('Входные данные'!$F$60)))</f>
        <v>1</v>
      </c>
      <c r="J100" s="58" t="n">
        <f aca="false">IF(N('Входные данные'!$F$60)&lt;=0,1,MIN(1,J99/N('Входные данные'!$F$60)))</f>
        <v>1</v>
      </c>
      <c r="K100" s="58" t="n">
        <f aca="false">IF(N('Входные данные'!$F$60)&lt;=0,1,MIN(1,K99/N('Входные данные'!$F$60)))</f>
        <v>1</v>
      </c>
      <c r="L100" s="58" t="n">
        <f aca="false">IF(N('Входные данные'!$F$60)&lt;=0,1,MIN(1,L99/N('Входные данные'!$F$60)))</f>
        <v>1</v>
      </c>
      <c r="M100" s="58" t="n">
        <f aca="false">IF(N('Входные данные'!$F$60)&lt;=0,1,MIN(1,M99/N('Входные данные'!$F$60)))</f>
        <v>1</v>
      </c>
      <c r="N100" s="58" t="n">
        <f aca="false">IF(N('Входные данные'!$F$60)&lt;=0,1,MIN(1,N99/N('Входные данные'!$F$60)))</f>
        <v>1</v>
      </c>
      <c r="O100" s="58" t="n">
        <f aca="false">IF(N('Входные данные'!$F$60)&lt;=0,1,MIN(1,O99/N('Входные данные'!$F$60)))</f>
        <v>1</v>
      </c>
      <c r="P100" s="58"/>
    </row>
    <row r="101" customFormat="false" ht="15" hidden="false" customHeight="false" outlineLevel="0" collapsed="false">
      <c r="B101" s="46" t="s">
        <v>501</v>
      </c>
      <c r="C101" s="59"/>
      <c r="D101" s="59" t="n">
        <f aca="false">Воронка!$D$6*D100</f>
        <v>150</v>
      </c>
      <c r="E101" s="59" t="n">
        <f aca="false">Воронка!$D$6*E100</f>
        <v>300</v>
      </c>
      <c r="F101" s="59" t="n">
        <f aca="false">Воронка!$D$6*F100</f>
        <v>300</v>
      </c>
      <c r="G101" s="59" t="n">
        <f aca="false">Воронка!$D$6*G100</f>
        <v>300</v>
      </c>
      <c r="H101" s="59" t="n">
        <f aca="false">Воронка!$D$6*H100</f>
        <v>300</v>
      </c>
      <c r="I101" s="59" t="n">
        <f aca="false">Воронка!$D$6*I100</f>
        <v>300</v>
      </c>
      <c r="J101" s="59" t="n">
        <f aca="false">Воронка!$D$6*J100</f>
        <v>300</v>
      </c>
      <c r="K101" s="59" t="n">
        <f aca="false">Воронка!$D$6*K100</f>
        <v>300</v>
      </c>
      <c r="L101" s="59" t="n">
        <f aca="false">Воронка!$D$6*L100</f>
        <v>300</v>
      </c>
      <c r="M101" s="59" t="n">
        <f aca="false">Воронка!$D$6*M100</f>
        <v>300</v>
      </c>
      <c r="N101" s="59" t="n">
        <f aca="false">Воронка!$D$6*N100</f>
        <v>300</v>
      </c>
      <c r="O101" s="59" t="n">
        <f aca="false">Воронка!$D$6*O100</f>
        <v>300</v>
      </c>
      <c r="P101" s="59" t="n">
        <f aca="false">SUM(D101:O101)</f>
        <v>3450</v>
      </c>
    </row>
    <row r="102" customFormat="false" ht="15" hidden="false" customHeight="false" outlineLevel="0" collapsed="false">
      <c r="B102" s="46" t="s">
        <v>502</v>
      </c>
      <c r="C102" s="58"/>
      <c r="D102" s="58" t="n">
        <f aca="false">D101*Воронка!$D$13*Воронка!$D$17</f>
        <v>1.35</v>
      </c>
      <c r="E102" s="58" t="n">
        <f aca="false">E101*Воронка!$D$13*Воронка!$D$17</f>
        <v>2.7</v>
      </c>
      <c r="F102" s="58" t="n">
        <f aca="false">F101*Воронка!$D$13*Воронка!$D$17</f>
        <v>2.7</v>
      </c>
      <c r="G102" s="58" t="n">
        <f aca="false">G101*Воронка!$D$13*Воронка!$D$17</f>
        <v>2.7</v>
      </c>
      <c r="H102" s="58" t="n">
        <f aca="false">H101*Воронка!$D$13*Воронка!$D$17</f>
        <v>2.7</v>
      </c>
      <c r="I102" s="58" t="n">
        <f aca="false">I101*Воронка!$D$13*Воронка!$D$17</f>
        <v>2.7</v>
      </c>
      <c r="J102" s="58" t="n">
        <f aca="false">J101*Воронка!$D$13*Воронка!$D$17</f>
        <v>2.7</v>
      </c>
      <c r="K102" s="58" t="n">
        <f aca="false">K101*Воронка!$D$13*Воронка!$D$17</f>
        <v>2.7</v>
      </c>
      <c r="L102" s="58" t="n">
        <f aca="false">L101*Воронка!$D$13*Воронка!$D$17</f>
        <v>2.7</v>
      </c>
      <c r="M102" s="58" t="n">
        <f aca="false">M101*Воронка!$D$13*Воронка!$D$17</f>
        <v>2.7</v>
      </c>
      <c r="N102" s="58" t="n">
        <f aca="false">N101*Воронка!$D$13*Воронка!$D$17</f>
        <v>2.7</v>
      </c>
      <c r="O102" s="58" t="n">
        <f aca="false">O101*Воронка!$D$13*Воронка!$D$17</f>
        <v>2.7</v>
      </c>
      <c r="P102" s="58" t="n">
        <f aca="false">SUM(D102:O102)</f>
        <v>31.05</v>
      </c>
    </row>
    <row r="103" customFormat="false" ht="15" hidden="false" customHeight="false" outlineLevel="0" collapsed="false">
      <c r="B103" s="46" t="s">
        <v>503</v>
      </c>
      <c r="C103" s="60"/>
      <c r="D103" s="60" t="n">
        <f aca="false">IF(AND(N('Входные данные'!$F$37)=2,D99&gt;N('Входные данные'!$F$42)),N('Входные данные'!$F$41),0)</f>
        <v>0</v>
      </c>
      <c r="E103" s="60" t="n">
        <f aca="false">IF(AND(N('Входные данные'!$F$37)=2,E99&gt;N('Входные данные'!$F$42)),N('Входные данные'!$F$41),0)</f>
        <v>0</v>
      </c>
      <c r="F103" s="60" t="n">
        <f aca="false">IF(AND(N('Входные данные'!$F$37)=2,F99&gt;N('Входные данные'!$F$42)),N('Входные данные'!$F$41),0)</f>
        <v>0</v>
      </c>
      <c r="G103" s="60" t="n">
        <f aca="false">IF(AND(N('Входные данные'!$F$37)=2,G99&gt;N('Входные данные'!$F$42)),N('Входные данные'!$F$41),0)</f>
        <v>0</v>
      </c>
      <c r="H103" s="60" t="n">
        <f aca="false">IF(AND(N('Входные данные'!$F$37)=2,H99&gt;N('Входные данные'!$F$42)),N('Входные данные'!$F$41),0)</f>
        <v>0</v>
      </c>
      <c r="I103" s="60" t="n">
        <f aca="false">IF(AND(N('Входные данные'!$F$37)=2,I99&gt;N('Входные данные'!$F$42)),N('Входные данные'!$F$41),0)</f>
        <v>0</v>
      </c>
      <c r="J103" s="60" t="n">
        <f aca="false">IF(AND(N('Входные данные'!$F$37)=2,J99&gt;N('Входные данные'!$F$42)),N('Входные данные'!$F$41),0)</f>
        <v>0.7</v>
      </c>
      <c r="K103" s="60" t="n">
        <f aca="false">IF(AND(N('Входные данные'!$F$37)=2,K99&gt;N('Входные данные'!$F$42)),N('Входные данные'!$F$41),0)</f>
        <v>0.7</v>
      </c>
      <c r="L103" s="60" t="n">
        <f aca="false">IF(AND(N('Входные данные'!$F$37)=2,L99&gt;N('Входные данные'!$F$42)),N('Входные данные'!$F$41),0)</f>
        <v>0.7</v>
      </c>
      <c r="M103" s="60" t="n">
        <f aca="false">IF(AND(N('Входные данные'!$F$37)=2,M99&gt;N('Входные данные'!$F$42)),N('Входные данные'!$F$41),0)</f>
        <v>0.7</v>
      </c>
      <c r="N103" s="60" t="n">
        <f aca="false">IF(AND(N('Входные данные'!$F$37)=2,N99&gt;N('Входные данные'!$F$42)),N('Входные данные'!$F$41),0)</f>
        <v>0.7</v>
      </c>
      <c r="O103" s="60" t="n">
        <f aca="false">IF(AND(N('Входные данные'!$F$37)=2,O99&gt;N('Входные данные'!$F$42)),N('Входные данные'!$F$41),0)</f>
        <v>0.7</v>
      </c>
      <c r="P103" s="60"/>
    </row>
    <row r="104" customFormat="false" ht="15" hidden="false" customHeight="false" outlineLevel="0" collapsed="false">
      <c r="B104" s="46" t="s">
        <v>504</v>
      </c>
      <c r="C104" s="58"/>
      <c r="D104" s="58" t="n">
        <f aca="false">MIN(D102*(1-D103),Воронка!$D$19)</f>
        <v>1.35</v>
      </c>
      <c r="E104" s="58" t="n">
        <f aca="false">MIN(E102*(1-E103),Воронка!$D$19)</f>
        <v>2.7</v>
      </c>
      <c r="F104" s="58" t="n">
        <f aca="false">MIN(F102*(1-F103),Воронка!$D$19)</f>
        <v>2.7</v>
      </c>
      <c r="G104" s="58" t="n">
        <f aca="false">MIN(G102*(1-G103),Воронка!$D$19)</f>
        <v>2.7</v>
      </c>
      <c r="H104" s="58" t="n">
        <f aca="false">MIN(H102*(1-H103),Воронка!$D$19)</f>
        <v>2.7</v>
      </c>
      <c r="I104" s="58" t="n">
        <f aca="false">MIN(I102*(1-I103),Воронка!$D$19)</f>
        <v>2.7</v>
      </c>
      <c r="J104" s="58" t="n">
        <f aca="false">MIN(J102*(1-J103),Воронка!$D$19)</f>
        <v>0.81</v>
      </c>
      <c r="K104" s="58" t="n">
        <f aca="false">MIN(K102*(1-K103),Воронка!$D$19)</f>
        <v>0.81</v>
      </c>
      <c r="L104" s="58" t="n">
        <f aca="false">MIN(L102*(1-L103),Воронка!$D$19)</f>
        <v>0.81</v>
      </c>
      <c r="M104" s="58" t="n">
        <f aca="false">MIN(M102*(1-M103),Воронка!$D$19)</f>
        <v>0.81</v>
      </c>
      <c r="N104" s="58" t="n">
        <f aca="false">MIN(N102*(1-N103),Воронка!$D$19)</f>
        <v>0.81</v>
      </c>
      <c r="O104" s="58" t="n">
        <f aca="false">MIN(O102*(1-O103),Воронка!$D$19)</f>
        <v>0.81</v>
      </c>
      <c r="P104" s="58" t="n">
        <f aca="false">SUM(D104:O104)</f>
        <v>19.71</v>
      </c>
    </row>
    <row r="105" customFormat="false" ht="15" hidden="false" customHeight="false" outlineLevel="0" collapsed="false">
      <c r="B105" s="46" t="s">
        <v>505</v>
      </c>
      <c r="C105" s="58"/>
      <c r="D105" s="58" t="n">
        <f aca="false">D102*(1-D103)-D104</f>
        <v>0</v>
      </c>
      <c r="E105" s="58" t="n">
        <f aca="false">E102*(1-E103)-E104</f>
        <v>0</v>
      </c>
      <c r="F105" s="58" t="n">
        <f aca="false">F102*(1-F103)-F104</f>
        <v>0</v>
      </c>
      <c r="G105" s="58" t="n">
        <f aca="false">G102*(1-G103)-G104</f>
        <v>0</v>
      </c>
      <c r="H105" s="58" t="n">
        <f aca="false">H102*(1-H103)-H104</f>
        <v>0</v>
      </c>
      <c r="I105" s="58" t="n">
        <f aca="false">I102*(1-I103)-I104</f>
        <v>0</v>
      </c>
      <c r="J105" s="58" t="n">
        <f aca="false">J102*(1-J103)-J104</f>
        <v>0</v>
      </c>
      <c r="K105" s="58" t="n">
        <f aca="false">K102*(1-K103)-K104</f>
        <v>0</v>
      </c>
      <c r="L105" s="58" t="n">
        <f aca="false">L102*(1-L103)-L104</f>
        <v>0</v>
      </c>
      <c r="M105" s="58" t="n">
        <f aca="false">M102*(1-M103)-M104</f>
        <v>0</v>
      </c>
      <c r="N105" s="58" t="n">
        <f aca="false">N102*(1-N103)-N104</f>
        <v>0</v>
      </c>
      <c r="O105" s="58" t="n">
        <f aca="false">O102*(1-O103)-O104</f>
        <v>0</v>
      </c>
      <c r="P105" s="58" t="n">
        <f aca="false">SUM(D105:O105)</f>
        <v>0</v>
      </c>
    </row>
    <row r="106" customFormat="false" ht="15" hidden="false" customHeight="false" outlineLevel="0" collapsed="false">
      <c r="B106" s="46" t="s">
        <v>506</v>
      </c>
      <c r="C106" s="58"/>
      <c r="D106" s="58" t="n">
        <f aca="false">D102*D103</f>
        <v>0</v>
      </c>
      <c r="E106" s="58" t="n">
        <f aca="false">E102*E103</f>
        <v>0</v>
      </c>
      <c r="F106" s="58" t="n">
        <f aca="false">F102*F103</f>
        <v>0</v>
      </c>
      <c r="G106" s="58" t="n">
        <f aca="false">G102*G103</f>
        <v>0</v>
      </c>
      <c r="H106" s="58" t="n">
        <f aca="false">H102*H103</f>
        <v>0</v>
      </c>
      <c r="I106" s="58" t="n">
        <f aca="false">I102*I103</f>
        <v>0</v>
      </c>
      <c r="J106" s="58" t="n">
        <f aca="false">J102*J103</f>
        <v>1.89</v>
      </c>
      <c r="K106" s="58" t="n">
        <f aca="false">K102*K103</f>
        <v>1.89</v>
      </c>
      <c r="L106" s="58" t="n">
        <f aca="false">L102*L103</f>
        <v>1.89</v>
      </c>
      <c r="M106" s="58" t="n">
        <f aca="false">M102*M103</f>
        <v>1.89</v>
      </c>
      <c r="N106" s="58" t="n">
        <f aca="false">N102*N103</f>
        <v>1.89</v>
      </c>
      <c r="O106" s="58" t="n">
        <f aca="false">O102*O103</f>
        <v>1.89</v>
      </c>
      <c r="P106" s="58" t="n">
        <f aca="false">SUM(D106:O106)</f>
        <v>11.34</v>
      </c>
    </row>
    <row r="107" customFormat="false" ht="15" hidden="false" customHeight="false" outlineLevel="0" collapsed="false">
      <c r="B107" s="46" t="s">
        <v>507</v>
      </c>
      <c r="C107" s="59"/>
      <c r="D107" s="59" t="n">
        <f aca="false">D104*'Юнит-экономика'!$D$8</f>
        <v>1377000</v>
      </c>
      <c r="E107" s="59" t="n">
        <f aca="false">E104*'Юнит-экономика'!$D$8</f>
        <v>2754000</v>
      </c>
      <c r="F107" s="59" t="n">
        <f aca="false">F104*'Юнит-экономика'!$D$8</f>
        <v>2754000</v>
      </c>
      <c r="G107" s="59" t="n">
        <f aca="false">G104*'Юнит-экономика'!$D$8</f>
        <v>2754000</v>
      </c>
      <c r="H107" s="59" t="n">
        <f aca="false">H104*'Юнит-экономика'!$D$8</f>
        <v>2754000</v>
      </c>
      <c r="I107" s="59" t="n">
        <f aca="false">I104*'Юнит-экономика'!$D$8</f>
        <v>2754000</v>
      </c>
      <c r="J107" s="59" t="n">
        <f aca="false">J104*'Юнит-экономика'!$D$8</f>
        <v>826200</v>
      </c>
      <c r="K107" s="59" t="n">
        <f aca="false">K104*'Юнит-экономика'!$D$8</f>
        <v>826200</v>
      </c>
      <c r="L107" s="59" t="n">
        <f aca="false">L104*'Юнит-экономика'!$D$8</f>
        <v>826200</v>
      </c>
      <c r="M107" s="59" t="n">
        <f aca="false">M104*'Юнит-экономика'!$D$8</f>
        <v>826200</v>
      </c>
      <c r="N107" s="59" t="n">
        <f aca="false">N104*'Юнит-экономика'!$D$8</f>
        <v>826200</v>
      </c>
      <c r="O107" s="59" t="n">
        <f aca="false">O104*'Юнит-экономика'!$D$8</f>
        <v>826200</v>
      </c>
      <c r="P107" s="59" t="n">
        <f aca="false">SUM(D107:O107)</f>
        <v>20104200</v>
      </c>
    </row>
    <row r="108" customFormat="false" ht="15" hidden="false" customHeight="false" outlineLevel="0" collapsed="false">
      <c r="B108" s="46" t="s">
        <v>508</v>
      </c>
      <c r="C108" s="59"/>
      <c r="D108" s="59" t="n">
        <f aca="false">D104*'Юнит-экономика'!$D$29+D106*'Юнит-экономика'!$D$27</f>
        <v>137700</v>
      </c>
      <c r="E108" s="59" t="n">
        <f aca="false">E104*'Юнит-экономика'!$D$29+E106*'Юнит-экономика'!$D$27</f>
        <v>275400</v>
      </c>
      <c r="F108" s="59" t="n">
        <f aca="false">F104*'Юнит-экономика'!$D$29+F106*'Юнит-экономика'!$D$27</f>
        <v>275400</v>
      </c>
      <c r="G108" s="59" t="n">
        <f aca="false">G104*'Юнит-экономика'!$D$29+G106*'Юнит-экономика'!$D$27</f>
        <v>275400</v>
      </c>
      <c r="H108" s="59" t="n">
        <f aca="false">H104*'Юнит-экономика'!$D$29+H106*'Юнит-экономика'!$D$27</f>
        <v>275400</v>
      </c>
      <c r="I108" s="59" t="n">
        <f aca="false">I104*'Юнит-экономика'!$D$29+I106*'Юнит-экономика'!$D$27</f>
        <v>275400</v>
      </c>
      <c r="J108" s="59" t="n">
        <f aca="false">J104*'Юнит-экономика'!$D$29+J106*'Юнит-экономика'!$D$27</f>
        <v>271620</v>
      </c>
      <c r="K108" s="59" t="n">
        <f aca="false">K104*'Юнит-экономика'!$D$29+K106*'Юнит-экономика'!$D$27</f>
        <v>271620</v>
      </c>
      <c r="L108" s="59" t="n">
        <f aca="false">L104*'Юнит-экономика'!$D$29+L106*'Юнит-экономика'!$D$27</f>
        <v>271620</v>
      </c>
      <c r="M108" s="59" t="n">
        <f aca="false">M104*'Юнит-экономика'!$D$29+M106*'Юнит-экономика'!$D$27</f>
        <v>271620</v>
      </c>
      <c r="N108" s="59" t="n">
        <f aca="false">N104*'Юнит-экономика'!$D$29+N106*'Юнит-экономика'!$D$27</f>
        <v>271620</v>
      </c>
      <c r="O108" s="59" t="n">
        <f aca="false">O104*'Юнит-экономика'!$D$29+O106*'Юнит-экономика'!$D$27</f>
        <v>271620</v>
      </c>
      <c r="P108" s="59" t="n">
        <f aca="false">SUM(D108:O108)</f>
        <v>3144420</v>
      </c>
    </row>
    <row r="109" customFormat="false" ht="15" hidden="false" customHeight="false" outlineLevel="0" collapsed="false">
      <c r="B109" s="46" t="s">
        <v>509</v>
      </c>
      <c r="C109" s="59"/>
      <c r="D109" s="59" t="n">
        <f aca="false">D104*'Юнит-экономика'!$D$28*(1-N('Входные данные'!$F$44))</f>
        <v>402300</v>
      </c>
      <c r="E109" s="59" t="n">
        <f aca="false">E104*'Юнит-экономика'!$D$28*(1-N('Входные данные'!$F$44))</f>
        <v>804600</v>
      </c>
      <c r="F109" s="59" t="n">
        <f aca="false">F104*'Юнит-экономика'!$D$28*(1-N('Входные данные'!$F$44))</f>
        <v>804600</v>
      </c>
      <c r="G109" s="59" t="n">
        <f aca="false">G104*'Юнит-экономика'!$D$28*(1-N('Входные данные'!$F$44))</f>
        <v>804600</v>
      </c>
      <c r="H109" s="59" t="n">
        <f aca="false">H104*'Юнит-экономика'!$D$28*(1-N('Входные данные'!$F$44))</f>
        <v>804600</v>
      </c>
      <c r="I109" s="59" t="n">
        <f aca="false">I104*'Юнит-экономика'!$D$28*(1-N('Входные данные'!$F$44))</f>
        <v>804600</v>
      </c>
      <c r="J109" s="59" t="n">
        <f aca="false">J104*'Юнит-экономика'!$D$28*(1-N('Входные данные'!$F$44))</f>
        <v>241380</v>
      </c>
      <c r="K109" s="59" t="n">
        <f aca="false">K104*'Юнит-экономика'!$D$28*(1-N('Входные данные'!$F$44))</f>
        <v>241380</v>
      </c>
      <c r="L109" s="59" t="n">
        <f aca="false">L104*'Юнит-экономика'!$D$28*(1-N('Входные данные'!$F$44))</f>
        <v>241380</v>
      </c>
      <c r="M109" s="59" t="n">
        <f aca="false">M104*'Юнит-экономика'!$D$28*(1-N('Входные данные'!$F$44))</f>
        <v>241380</v>
      </c>
      <c r="N109" s="59" t="n">
        <f aca="false">N104*'Юнит-экономика'!$D$28*(1-N('Входные данные'!$F$44))</f>
        <v>241380</v>
      </c>
      <c r="O109" s="59" t="n">
        <f aca="false">O104*'Юнит-экономика'!$D$28*(1-N('Входные данные'!$F$44))</f>
        <v>241380</v>
      </c>
      <c r="P109" s="59" t="n">
        <f aca="false">SUM(D109:O109)</f>
        <v>5873580</v>
      </c>
    </row>
    <row r="110" customFormat="false" ht="15" hidden="false" customHeight="false" outlineLevel="0" collapsed="false">
      <c r="B110" s="46" t="s">
        <v>510</v>
      </c>
      <c r="C110" s="59"/>
      <c r="D110" s="59" t="n">
        <f aca="false">D108+D109</f>
        <v>540000</v>
      </c>
      <c r="E110" s="59" t="n">
        <f aca="false">E108+E109</f>
        <v>1080000</v>
      </c>
      <c r="F110" s="59" t="n">
        <f aca="false">F108+F109</f>
        <v>1080000</v>
      </c>
      <c r="G110" s="59" t="n">
        <f aca="false">G108+G109</f>
        <v>1080000</v>
      </c>
      <c r="H110" s="59" t="n">
        <f aca="false">H108+H109</f>
        <v>1080000</v>
      </c>
      <c r="I110" s="59" t="n">
        <f aca="false">I108+I109</f>
        <v>1080000</v>
      </c>
      <c r="J110" s="59" t="n">
        <f aca="false">J108+J109</f>
        <v>513000</v>
      </c>
      <c r="K110" s="59" t="n">
        <f aca="false">K108+K109</f>
        <v>513000</v>
      </c>
      <c r="L110" s="59" t="n">
        <f aca="false">L108+L109</f>
        <v>513000</v>
      </c>
      <c r="M110" s="59" t="n">
        <f aca="false">M108+M109</f>
        <v>513000</v>
      </c>
      <c r="N110" s="59" t="n">
        <f aca="false">N108+N109</f>
        <v>513000</v>
      </c>
      <c r="O110" s="59" t="n">
        <f aca="false">O108+O109</f>
        <v>513000</v>
      </c>
      <c r="P110" s="59" t="n">
        <f aca="false">SUM(D110:O110)</f>
        <v>9018000</v>
      </c>
    </row>
    <row r="111" customFormat="false" ht="15" hidden="false" customHeight="false" outlineLevel="0" collapsed="false">
      <c r="B111" s="46" t="s">
        <v>511</v>
      </c>
      <c r="C111" s="59"/>
      <c r="D111" s="59" t="n">
        <f aca="false">Сценарии_BEP!$D$21</f>
        <v>8750000</v>
      </c>
      <c r="E111" s="59" t="n">
        <f aca="false">Сценарии_BEP!$D$21</f>
        <v>8750000</v>
      </c>
      <c r="F111" s="59" t="n">
        <f aca="false">Сценарии_BEP!$D$21</f>
        <v>8750000</v>
      </c>
      <c r="G111" s="59" t="n">
        <f aca="false">Сценарии_BEP!$D$21</f>
        <v>8750000</v>
      </c>
      <c r="H111" s="59" t="n">
        <f aca="false">Сценарии_BEP!$D$21</f>
        <v>8750000</v>
      </c>
      <c r="I111" s="59" t="n">
        <f aca="false">Сценарии_BEP!$D$21</f>
        <v>8750000</v>
      </c>
      <c r="J111" s="59" t="n">
        <f aca="false">Сценарии_BEP!$D$21</f>
        <v>8750000</v>
      </c>
      <c r="K111" s="59" t="n">
        <f aca="false">Сценарии_BEP!$D$21</f>
        <v>8750000</v>
      </c>
      <c r="L111" s="59" t="n">
        <f aca="false">Сценарии_BEP!$D$21</f>
        <v>8750000</v>
      </c>
      <c r="M111" s="59" t="n">
        <f aca="false">Сценарии_BEP!$D$21</f>
        <v>8750000</v>
      </c>
      <c r="N111" s="59" t="n">
        <f aca="false">Сценарии_BEP!$D$21</f>
        <v>8750000</v>
      </c>
      <c r="O111" s="59" t="n">
        <f aca="false">Сценарии_BEP!$D$21</f>
        <v>8750000</v>
      </c>
      <c r="P111" s="59" t="n">
        <f aca="false">SUM(D111:O111)</f>
        <v>105000000</v>
      </c>
    </row>
    <row r="112" customFormat="false" ht="15" hidden="false" customHeight="false" outlineLevel="0" collapsed="false">
      <c r="B112" s="3" t="s">
        <v>512</v>
      </c>
      <c r="C112" s="61"/>
      <c r="D112" s="61" t="n">
        <f aca="false">D110-D111</f>
        <v>-8210000</v>
      </c>
      <c r="E112" s="61" t="n">
        <f aca="false">E110-E111</f>
        <v>-7670000</v>
      </c>
      <c r="F112" s="61" t="n">
        <f aca="false">F110-F111</f>
        <v>-7670000</v>
      </c>
      <c r="G112" s="61" t="n">
        <f aca="false">G110-G111</f>
        <v>-7670000</v>
      </c>
      <c r="H112" s="61" t="n">
        <f aca="false">H110-H111</f>
        <v>-7670000</v>
      </c>
      <c r="I112" s="61" t="n">
        <f aca="false">I110-I111</f>
        <v>-7670000</v>
      </c>
      <c r="J112" s="61" t="n">
        <f aca="false">J110-J111</f>
        <v>-8237000</v>
      </c>
      <c r="K112" s="61" t="n">
        <f aca="false">K110-K111</f>
        <v>-8237000</v>
      </c>
      <c r="L112" s="61" t="n">
        <f aca="false">L110-L111</f>
        <v>-8237000</v>
      </c>
      <c r="M112" s="61" t="n">
        <f aca="false">M110-M111</f>
        <v>-8237000</v>
      </c>
      <c r="N112" s="61" t="n">
        <f aca="false">N110-N111</f>
        <v>-8237000</v>
      </c>
      <c r="O112" s="61" t="n">
        <f aca="false">O110-O111</f>
        <v>-8237000</v>
      </c>
      <c r="P112" s="61" t="n">
        <f aca="false">SUM(D112:O112)</f>
        <v>-95982000</v>
      </c>
    </row>
    <row r="113" customFormat="false" ht="15" hidden="false" customHeight="false" outlineLevel="0" collapsed="false">
      <c r="B113" s="3" t="s">
        <v>513</v>
      </c>
      <c r="C113" s="61"/>
      <c r="D113" s="61" t="n">
        <f aca="false">D108-D111</f>
        <v>-8612300</v>
      </c>
      <c r="E113" s="61" t="n">
        <f aca="false">E108-E111</f>
        <v>-8474600</v>
      </c>
      <c r="F113" s="61" t="n">
        <f aca="false">F108-F111</f>
        <v>-8474600</v>
      </c>
      <c r="G113" s="61" t="n">
        <f aca="false">G108-G111</f>
        <v>-8474600</v>
      </c>
      <c r="H113" s="61" t="n">
        <f aca="false">H108-H111</f>
        <v>-8474600</v>
      </c>
      <c r="I113" s="61" t="n">
        <f aca="false">I108-I111</f>
        <v>-8474600</v>
      </c>
      <c r="J113" s="61" t="n">
        <f aca="false">J108-J111</f>
        <v>-8478380</v>
      </c>
      <c r="K113" s="61" t="n">
        <f aca="false">K108-K111</f>
        <v>-8478380</v>
      </c>
      <c r="L113" s="61" t="n">
        <f aca="false">L108-L111</f>
        <v>-8478380</v>
      </c>
      <c r="M113" s="61" t="n">
        <f aca="false">M108-M111</f>
        <v>-8478380</v>
      </c>
      <c r="N113" s="61" t="n">
        <f aca="false">N108-N111</f>
        <v>-8478380</v>
      </c>
      <c r="O113" s="61" t="n">
        <f aca="false">O108-O111</f>
        <v>-8478380</v>
      </c>
      <c r="P113" s="61" t="n">
        <f aca="false">SUM(D113:O113)</f>
        <v>-101855580</v>
      </c>
    </row>
    <row r="114" customFormat="false" ht="15" hidden="false" customHeight="false" outlineLevel="0" collapsed="false">
      <c r="B114" s="46" t="s">
        <v>514</v>
      </c>
      <c r="C114" s="59" t="n">
        <v>0</v>
      </c>
      <c r="D114" s="59" t="n">
        <f aca="false">C114+D112</f>
        <v>-8210000</v>
      </c>
      <c r="E114" s="59" t="n">
        <f aca="false">D114+E112</f>
        <v>-15880000</v>
      </c>
      <c r="F114" s="59" t="n">
        <f aca="false">E114+F112</f>
        <v>-23550000</v>
      </c>
      <c r="G114" s="59" t="n">
        <f aca="false">F114+G112</f>
        <v>-31220000</v>
      </c>
      <c r="H114" s="59" t="n">
        <f aca="false">G114+H112</f>
        <v>-38890000</v>
      </c>
      <c r="I114" s="59" t="n">
        <f aca="false">H114+I112</f>
        <v>-46560000</v>
      </c>
      <c r="J114" s="59" t="n">
        <f aca="false">I114+J112</f>
        <v>-54797000</v>
      </c>
      <c r="K114" s="59" t="n">
        <f aca="false">J114+K112</f>
        <v>-63034000</v>
      </c>
      <c r="L114" s="59" t="n">
        <f aca="false">K114+L112</f>
        <v>-71271000</v>
      </c>
      <c r="M114" s="59" t="n">
        <f aca="false">L114+M112</f>
        <v>-79508000</v>
      </c>
      <c r="N114" s="59" t="n">
        <f aca="false">M114+N112</f>
        <v>-87745000</v>
      </c>
      <c r="O114" s="59" t="n">
        <f aca="false">N114+O112</f>
        <v>-95982000</v>
      </c>
      <c r="P114" s="59"/>
    </row>
    <row r="115" customFormat="false" ht="15" hidden="false" customHeight="false" outlineLevel="0" collapsed="false">
      <c r="B115" s="46" t="s">
        <v>515</v>
      </c>
      <c r="C115" s="59" t="n">
        <v>0</v>
      </c>
      <c r="D115" s="59" t="n">
        <f aca="false">C115+D113</f>
        <v>-8612300</v>
      </c>
      <c r="E115" s="59" t="n">
        <f aca="false">D115+E113</f>
        <v>-17086900</v>
      </c>
      <c r="F115" s="59" t="n">
        <f aca="false">E115+F113</f>
        <v>-25561500</v>
      </c>
      <c r="G115" s="59" t="n">
        <f aca="false">F115+G113</f>
        <v>-34036100</v>
      </c>
      <c r="H115" s="59" t="n">
        <f aca="false">G115+H113</f>
        <v>-42510700</v>
      </c>
      <c r="I115" s="59" t="n">
        <f aca="false">H115+I113</f>
        <v>-50985300</v>
      </c>
      <c r="J115" s="59" t="n">
        <f aca="false">I115+J113</f>
        <v>-59463680</v>
      </c>
      <c r="K115" s="59" t="n">
        <f aca="false">J115+K113</f>
        <v>-67942060</v>
      </c>
      <c r="L115" s="59" t="n">
        <f aca="false">K115+L113</f>
        <v>-76420440</v>
      </c>
      <c r="M115" s="59" t="n">
        <f aca="false">L115+M113</f>
        <v>-84898820</v>
      </c>
      <c r="N115" s="59" t="n">
        <f aca="false">M115+N113</f>
        <v>-93377200</v>
      </c>
      <c r="O115" s="59" t="n">
        <f aca="false">N115+O113</f>
        <v>-101855580</v>
      </c>
      <c r="P115" s="59"/>
    </row>
    <row r="116" customFormat="false" ht="15" hidden="false" customHeight="false" outlineLevel="0" collapsed="false">
      <c r="B116" s="46" t="s">
        <v>516</v>
      </c>
      <c r="C116" s="59" t="n">
        <f aca="false">-Сценарии_BEP!$D$29</f>
        <v>-72000000</v>
      </c>
      <c r="D116" s="59" t="n">
        <v>0</v>
      </c>
      <c r="E116" s="59" t="n">
        <v>0</v>
      </c>
      <c r="F116" s="59" t="n">
        <v>0</v>
      </c>
      <c r="G116" s="59" t="n">
        <v>0</v>
      </c>
      <c r="H116" s="59" t="n">
        <v>0</v>
      </c>
      <c r="I116" s="59" t="n">
        <v>0</v>
      </c>
      <c r="J116" s="59" t="n">
        <v>0</v>
      </c>
      <c r="K116" s="59" t="n">
        <v>0</v>
      </c>
      <c r="L116" s="59" t="n">
        <v>0</v>
      </c>
      <c r="M116" s="59" t="n">
        <v>0</v>
      </c>
      <c r="N116" s="59" t="n">
        <v>0</v>
      </c>
      <c r="O116" s="59" t="n">
        <v>0</v>
      </c>
      <c r="P116" s="59" t="n">
        <f aca="false">C116</f>
        <v>-72000000</v>
      </c>
    </row>
    <row r="117" customFormat="false" ht="15" hidden="false" customHeight="false" outlineLevel="0" collapsed="false">
      <c r="B117" s="3" t="s">
        <v>517</v>
      </c>
      <c r="C117" s="61" t="n">
        <f aca="false">C116</f>
        <v>-72000000</v>
      </c>
      <c r="D117" s="61" t="n">
        <f aca="false">C117+D112+D116</f>
        <v>-80210000</v>
      </c>
      <c r="E117" s="61" t="n">
        <f aca="false">D117+E112+E116</f>
        <v>-87880000</v>
      </c>
      <c r="F117" s="61" t="n">
        <f aca="false">E117+F112+F116</f>
        <v>-95550000</v>
      </c>
      <c r="G117" s="61" t="n">
        <f aca="false">F117+G112+G116</f>
        <v>-103220000</v>
      </c>
      <c r="H117" s="61" t="n">
        <f aca="false">G117+H112+H116</f>
        <v>-110890000</v>
      </c>
      <c r="I117" s="61" t="n">
        <f aca="false">H117+I112+I116</f>
        <v>-118560000</v>
      </c>
      <c r="J117" s="61" t="n">
        <f aca="false">I117+J112+J116</f>
        <v>-126797000</v>
      </c>
      <c r="K117" s="61" t="n">
        <f aca="false">J117+K112+K116</f>
        <v>-135034000</v>
      </c>
      <c r="L117" s="61" t="n">
        <f aca="false">K117+L112+L116</f>
        <v>-143271000</v>
      </c>
      <c r="M117" s="61" t="n">
        <f aca="false">L117+M112+M116</f>
        <v>-151508000</v>
      </c>
      <c r="N117" s="61" t="n">
        <f aca="false">M117+N112+N116</f>
        <v>-159745000</v>
      </c>
      <c r="O117" s="61" t="n">
        <f aca="false">N117+O112+O116</f>
        <v>-167982000</v>
      </c>
      <c r="P117" s="61"/>
    </row>
    <row r="118" customFormat="false" ht="15" hidden="false" customHeight="false" outlineLevel="0" collapsed="false">
      <c r="B118" s="3" t="s">
        <v>518</v>
      </c>
      <c r="C118" s="61" t="n">
        <f aca="false">C116</f>
        <v>-72000000</v>
      </c>
      <c r="D118" s="61" t="n">
        <f aca="false">C118+D113+D116</f>
        <v>-80612300</v>
      </c>
      <c r="E118" s="61" t="n">
        <f aca="false">D118+E113+E116</f>
        <v>-89086900</v>
      </c>
      <c r="F118" s="61" t="n">
        <f aca="false">E118+F113+F116</f>
        <v>-97561500</v>
      </c>
      <c r="G118" s="61" t="n">
        <f aca="false">F118+G113+G116</f>
        <v>-106036100</v>
      </c>
      <c r="H118" s="61" t="n">
        <f aca="false">G118+H113+H116</f>
        <v>-114510700</v>
      </c>
      <c r="I118" s="61" t="n">
        <f aca="false">H118+I113+I116</f>
        <v>-122985300</v>
      </c>
      <c r="J118" s="61" t="n">
        <f aca="false">I118+J113+J116</f>
        <v>-131463680</v>
      </c>
      <c r="K118" s="61" t="n">
        <f aca="false">J118+K113+K116</f>
        <v>-139942060</v>
      </c>
      <c r="L118" s="61" t="n">
        <f aca="false">K118+L113+L116</f>
        <v>-148420440</v>
      </c>
      <c r="M118" s="61" t="n">
        <f aca="false">L118+M113+M116</f>
        <v>-156898820</v>
      </c>
      <c r="N118" s="61" t="n">
        <f aca="false">M118+N113+N116</f>
        <v>-165377200</v>
      </c>
      <c r="O118" s="61" t="n">
        <f aca="false">N118+O113+O116</f>
        <v>-173855580</v>
      </c>
      <c r="P118" s="61"/>
    </row>
    <row r="119" customFormat="false" ht="15" hidden="false" customHeight="false" outlineLevel="0" collapsed="false">
      <c r="B119" s="46" t="s">
        <v>519</v>
      </c>
      <c r="C119" s="59"/>
      <c r="D119" s="59" t="str">
        <f aca="false">IF(D114&gt;=0,D99,"")</f>
        <v/>
      </c>
      <c r="E119" s="59" t="str">
        <f aca="false">IF(E114&gt;=0,E99,"")</f>
        <v/>
      </c>
      <c r="F119" s="59" t="str">
        <f aca="false">IF(F114&gt;=0,F99,"")</f>
        <v/>
      </c>
      <c r="G119" s="59" t="str">
        <f aca="false">IF(G114&gt;=0,G99,"")</f>
        <v/>
      </c>
      <c r="H119" s="59" t="str">
        <f aca="false">IF(H114&gt;=0,H99,"")</f>
        <v/>
      </c>
      <c r="I119" s="59" t="str">
        <f aca="false">IF(I114&gt;=0,I99,"")</f>
        <v/>
      </c>
      <c r="J119" s="59" t="str">
        <f aca="false">IF(J114&gt;=0,J99,"")</f>
        <v/>
      </c>
      <c r="K119" s="59" t="str">
        <f aca="false">IF(K114&gt;=0,K99,"")</f>
        <v/>
      </c>
      <c r="L119" s="59" t="str">
        <f aca="false">IF(L114&gt;=0,L99,"")</f>
        <v/>
      </c>
      <c r="M119" s="59" t="str">
        <f aca="false">IF(M114&gt;=0,M99,"")</f>
        <v/>
      </c>
      <c r="N119" s="59" t="str">
        <f aca="false">IF(N114&gt;=0,N99,"")</f>
        <v/>
      </c>
      <c r="O119" s="59" t="str">
        <f aca="false">IF(O114&gt;=0,O99,"")</f>
        <v/>
      </c>
      <c r="P119" s="59"/>
    </row>
    <row r="120" customFormat="false" ht="15" hidden="false" customHeight="false" outlineLevel="0" collapsed="false">
      <c r="B120" s="46" t="s">
        <v>520</v>
      </c>
      <c r="C120" s="59"/>
      <c r="D120" s="59" t="str">
        <f aca="false">IF(D117&gt;=0,D99,"")</f>
        <v/>
      </c>
      <c r="E120" s="59" t="str">
        <f aca="false">IF(E117&gt;=0,E99,"")</f>
        <v/>
      </c>
      <c r="F120" s="59" t="str">
        <f aca="false">IF(F117&gt;=0,F99,"")</f>
        <v/>
      </c>
      <c r="G120" s="59" t="str">
        <f aca="false">IF(G117&gt;=0,G99,"")</f>
        <v/>
      </c>
      <c r="H120" s="59" t="str">
        <f aca="false">IF(H117&gt;=0,H99,"")</f>
        <v/>
      </c>
      <c r="I120" s="59" t="str">
        <f aca="false">IF(I117&gt;=0,I99,"")</f>
        <v/>
      </c>
      <c r="J120" s="59" t="str">
        <f aca="false">IF(J117&gt;=0,J99,"")</f>
        <v/>
      </c>
      <c r="K120" s="59" t="str">
        <f aca="false">IF(K117&gt;=0,K99,"")</f>
        <v/>
      </c>
      <c r="L120" s="59" t="str">
        <f aca="false">IF(L117&gt;=0,L99,"")</f>
        <v/>
      </c>
      <c r="M120" s="59" t="str">
        <f aca="false">IF(M117&gt;=0,M99,"")</f>
        <v/>
      </c>
      <c r="N120" s="59" t="str">
        <f aca="false">IF(N117&gt;=0,N99,"")</f>
        <v/>
      </c>
      <c r="O120" s="59" t="str">
        <f aca="false">IF(O117&gt;=0,O99,"")</f>
        <v/>
      </c>
      <c r="P120" s="59"/>
    </row>
    <row r="121" customFormat="false" ht="15" hidden="false" customHeight="false" outlineLevel="0" collapsed="false">
      <c r="B121" s="46" t="s">
        <v>521</v>
      </c>
      <c r="C121" s="59"/>
      <c r="D121" s="59" t="str">
        <f aca="false">IF(D118&gt;=0,D99,"")</f>
        <v/>
      </c>
      <c r="E121" s="59" t="str">
        <f aca="false">IF(E118&gt;=0,E99,"")</f>
        <v/>
      </c>
      <c r="F121" s="59" t="str">
        <f aca="false">IF(F118&gt;=0,F99,"")</f>
        <v/>
      </c>
      <c r="G121" s="59" t="str">
        <f aca="false">IF(G118&gt;=0,G99,"")</f>
        <v/>
      </c>
      <c r="H121" s="59" t="str">
        <f aca="false">IF(H118&gt;=0,H99,"")</f>
        <v/>
      </c>
      <c r="I121" s="59" t="str">
        <f aca="false">IF(I118&gt;=0,I99,"")</f>
        <v/>
      </c>
      <c r="J121" s="59" t="str">
        <f aca="false">IF(J118&gt;=0,J99,"")</f>
        <v/>
      </c>
      <c r="K121" s="59" t="str">
        <f aca="false">IF(K118&gt;=0,K99,"")</f>
        <v/>
      </c>
      <c r="L121" s="59" t="str">
        <f aca="false">IF(L118&gt;=0,L99,"")</f>
        <v/>
      </c>
      <c r="M121" s="59" t="str">
        <f aca="false">IF(M118&gt;=0,M99,"")</f>
        <v/>
      </c>
      <c r="N121" s="59" t="str">
        <f aca="false">IF(N118&gt;=0,N99,"")</f>
        <v/>
      </c>
      <c r="O121" s="59" t="str">
        <f aca="false">IF(O118&gt;=0,O99,"")</f>
        <v/>
      </c>
      <c r="P121" s="59"/>
    </row>
    <row r="124" customFormat="false" ht="15" hidden="false" customHeight="false" outlineLevel="0" collapsed="false">
      <c r="B124" s="44" t="s">
        <v>523</v>
      </c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</row>
    <row r="125" customFormat="false" ht="15" hidden="false" customHeight="false" outlineLevel="0" collapsed="false">
      <c r="B125" s="46" t="s">
        <v>498</v>
      </c>
      <c r="C125" s="3" t="n">
        <v>0</v>
      </c>
      <c r="D125" s="3" t="n">
        <v>1</v>
      </c>
      <c r="E125" s="3" t="n">
        <v>2</v>
      </c>
      <c r="F125" s="3" t="n">
        <v>3</v>
      </c>
      <c r="G125" s="3" t="n">
        <v>4</v>
      </c>
      <c r="H125" s="3" t="n">
        <v>5</v>
      </c>
      <c r="I125" s="3" t="n">
        <v>6</v>
      </c>
      <c r="J125" s="3" t="n">
        <v>7</v>
      </c>
      <c r="K125" s="3" t="n">
        <v>8</v>
      </c>
      <c r="L125" s="3" t="n">
        <v>9</v>
      </c>
      <c r="M125" s="3" t="n">
        <v>10</v>
      </c>
      <c r="N125" s="3" t="n">
        <v>11</v>
      </c>
      <c r="O125" s="3" t="n">
        <v>12</v>
      </c>
      <c r="P125" s="3" t="s">
        <v>499</v>
      </c>
    </row>
    <row r="126" customFormat="false" ht="15" hidden="false" customHeight="false" outlineLevel="0" collapsed="false">
      <c r="B126" s="46" t="s">
        <v>500</v>
      </c>
      <c r="C126" s="58"/>
      <c r="D126" s="58" t="n">
        <f aca="false">IF(N('Входные данные'!$G$60)&lt;=0,1,MIN(1,D125/N('Входные данные'!$G$60)))</f>
        <v>0.5</v>
      </c>
      <c r="E126" s="58" t="n">
        <f aca="false">IF(N('Входные данные'!$G$60)&lt;=0,1,MIN(1,E125/N('Входные данные'!$G$60)))</f>
        <v>1</v>
      </c>
      <c r="F126" s="58" t="n">
        <f aca="false">IF(N('Входные данные'!$G$60)&lt;=0,1,MIN(1,F125/N('Входные данные'!$G$60)))</f>
        <v>1</v>
      </c>
      <c r="G126" s="58" t="n">
        <f aca="false">IF(N('Входные данные'!$G$60)&lt;=0,1,MIN(1,G125/N('Входные данные'!$G$60)))</f>
        <v>1</v>
      </c>
      <c r="H126" s="58" t="n">
        <f aca="false">IF(N('Входные данные'!$G$60)&lt;=0,1,MIN(1,H125/N('Входные данные'!$G$60)))</f>
        <v>1</v>
      </c>
      <c r="I126" s="58" t="n">
        <f aca="false">IF(N('Входные данные'!$G$60)&lt;=0,1,MIN(1,I125/N('Входные данные'!$G$60)))</f>
        <v>1</v>
      </c>
      <c r="J126" s="58" t="n">
        <f aca="false">IF(N('Входные данные'!$G$60)&lt;=0,1,MIN(1,J125/N('Входные данные'!$G$60)))</f>
        <v>1</v>
      </c>
      <c r="K126" s="58" t="n">
        <f aca="false">IF(N('Входные данные'!$G$60)&lt;=0,1,MIN(1,K125/N('Входные данные'!$G$60)))</f>
        <v>1</v>
      </c>
      <c r="L126" s="58" t="n">
        <f aca="false">IF(N('Входные данные'!$G$60)&lt;=0,1,MIN(1,L125/N('Входные данные'!$G$60)))</f>
        <v>1</v>
      </c>
      <c r="M126" s="58" t="n">
        <f aca="false">IF(N('Входные данные'!$G$60)&lt;=0,1,MIN(1,M125/N('Входные данные'!$G$60)))</f>
        <v>1</v>
      </c>
      <c r="N126" s="58" t="n">
        <f aca="false">IF(N('Входные данные'!$G$60)&lt;=0,1,MIN(1,N125/N('Входные данные'!$G$60)))</f>
        <v>1</v>
      </c>
      <c r="O126" s="58" t="n">
        <f aca="false">IF(N('Входные данные'!$G$60)&lt;=0,1,MIN(1,O125/N('Входные данные'!$G$60)))</f>
        <v>1</v>
      </c>
      <c r="P126" s="58"/>
    </row>
    <row r="127" customFormat="false" ht="15" hidden="false" customHeight="false" outlineLevel="0" collapsed="false">
      <c r="B127" s="46" t="s">
        <v>501</v>
      </c>
      <c r="C127" s="59"/>
      <c r="D127" s="59" t="n">
        <f aca="false">Воронка!$E$6*D126</f>
        <v>450</v>
      </c>
      <c r="E127" s="59" t="n">
        <f aca="false">Воронка!$E$6*E126</f>
        <v>900</v>
      </c>
      <c r="F127" s="59" t="n">
        <f aca="false">Воронка!$E$6*F126</f>
        <v>900</v>
      </c>
      <c r="G127" s="59" t="n">
        <f aca="false">Воронка!$E$6*G126</f>
        <v>900</v>
      </c>
      <c r="H127" s="59" t="n">
        <f aca="false">Воронка!$E$6*H126</f>
        <v>900</v>
      </c>
      <c r="I127" s="59" t="n">
        <f aca="false">Воронка!$E$6*I126</f>
        <v>900</v>
      </c>
      <c r="J127" s="59" t="n">
        <f aca="false">Воронка!$E$6*J126</f>
        <v>900</v>
      </c>
      <c r="K127" s="59" t="n">
        <f aca="false">Воронка!$E$6*K126</f>
        <v>900</v>
      </c>
      <c r="L127" s="59" t="n">
        <f aca="false">Воронка!$E$6*L126</f>
        <v>900</v>
      </c>
      <c r="M127" s="59" t="n">
        <f aca="false">Воронка!$E$6*M126</f>
        <v>900</v>
      </c>
      <c r="N127" s="59" t="n">
        <f aca="false">Воронка!$E$6*N126</f>
        <v>900</v>
      </c>
      <c r="O127" s="59" t="n">
        <f aca="false">Воронка!$E$6*O126</f>
        <v>900</v>
      </c>
      <c r="P127" s="59" t="n">
        <f aca="false">SUM(D127:O127)</f>
        <v>10350</v>
      </c>
    </row>
    <row r="128" customFormat="false" ht="15" hidden="false" customHeight="false" outlineLevel="0" collapsed="false">
      <c r="B128" s="46" t="s">
        <v>502</v>
      </c>
      <c r="C128" s="58"/>
      <c r="D128" s="58" t="n">
        <f aca="false">D127*Воронка!$E$13*Воронка!$E$17</f>
        <v>5.0625</v>
      </c>
      <c r="E128" s="58" t="n">
        <f aca="false">E127*Воронка!$E$13*Воронка!$E$17</f>
        <v>10.125</v>
      </c>
      <c r="F128" s="58" t="n">
        <f aca="false">F127*Воронка!$E$13*Воронка!$E$17</f>
        <v>10.125</v>
      </c>
      <c r="G128" s="58" t="n">
        <f aca="false">G127*Воронка!$E$13*Воронка!$E$17</f>
        <v>10.125</v>
      </c>
      <c r="H128" s="58" t="n">
        <f aca="false">H127*Воронка!$E$13*Воронка!$E$17</f>
        <v>10.125</v>
      </c>
      <c r="I128" s="58" t="n">
        <f aca="false">I127*Воронка!$E$13*Воронка!$E$17</f>
        <v>10.125</v>
      </c>
      <c r="J128" s="58" t="n">
        <f aca="false">J127*Воронка!$E$13*Воронка!$E$17</f>
        <v>10.125</v>
      </c>
      <c r="K128" s="58" t="n">
        <f aca="false">K127*Воронка!$E$13*Воронка!$E$17</f>
        <v>10.125</v>
      </c>
      <c r="L128" s="58" t="n">
        <f aca="false">L127*Воронка!$E$13*Воронка!$E$17</f>
        <v>10.125</v>
      </c>
      <c r="M128" s="58" t="n">
        <f aca="false">M127*Воронка!$E$13*Воронка!$E$17</f>
        <v>10.125</v>
      </c>
      <c r="N128" s="58" t="n">
        <f aca="false">N127*Воронка!$E$13*Воронка!$E$17</f>
        <v>10.125</v>
      </c>
      <c r="O128" s="58" t="n">
        <f aca="false">O127*Воронка!$E$13*Воронка!$E$17</f>
        <v>10.125</v>
      </c>
      <c r="P128" s="58" t="n">
        <f aca="false">SUM(D128:O128)</f>
        <v>116.4375</v>
      </c>
    </row>
    <row r="129" customFormat="false" ht="15" hidden="false" customHeight="false" outlineLevel="0" collapsed="false">
      <c r="B129" s="46" t="s">
        <v>503</v>
      </c>
      <c r="C129" s="60"/>
      <c r="D129" s="60" t="n">
        <f aca="false">IF(AND(N('Входные данные'!$G$37)=2,D125&gt;N('Входные данные'!$G$42)),N('Входные данные'!$G$41),0)</f>
        <v>0</v>
      </c>
      <c r="E129" s="60" t="n">
        <f aca="false">IF(AND(N('Входные данные'!$G$37)=2,E125&gt;N('Входные данные'!$G$42)),N('Входные данные'!$G$41),0)</f>
        <v>0</v>
      </c>
      <c r="F129" s="60" t="n">
        <f aca="false">IF(AND(N('Входные данные'!$G$37)=2,F125&gt;N('Входные данные'!$G$42)),N('Входные данные'!$G$41),0)</f>
        <v>0</v>
      </c>
      <c r="G129" s="60" t="n">
        <f aca="false">IF(AND(N('Входные данные'!$G$37)=2,G125&gt;N('Входные данные'!$G$42)),N('Входные данные'!$G$41),0)</f>
        <v>0.7</v>
      </c>
      <c r="H129" s="60" t="n">
        <f aca="false">IF(AND(N('Входные данные'!$G$37)=2,H125&gt;N('Входные данные'!$G$42)),N('Входные данные'!$G$41),0)</f>
        <v>0.7</v>
      </c>
      <c r="I129" s="60" t="n">
        <f aca="false">IF(AND(N('Входные данные'!$G$37)=2,I125&gt;N('Входные данные'!$G$42)),N('Входные данные'!$G$41),0)</f>
        <v>0.7</v>
      </c>
      <c r="J129" s="60" t="n">
        <f aca="false">IF(AND(N('Входные данные'!$G$37)=2,J125&gt;N('Входные данные'!$G$42)),N('Входные данные'!$G$41),0)</f>
        <v>0.7</v>
      </c>
      <c r="K129" s="60" t="n">
        <f aca="false">IF(AND(N('Входные данные'!$G$37)=2,K125&gt;N('Входные данные'!$G$42)),N('Входные данные'!$G$41),0)</f>
        <v>0.7</v>
      </c>
      <c r="L129" s="60" t="n">
        <f aca="false">IF(AND(N('Входные данные'!$G$37)=2,L125&gt;N('Входные данные'!$G$42)),N('Входные данные'!$G$41),0)</f>
        <v>0.7</v>
      </c>
      <c r="M129" s="60" t="n">
        <f aca="false">IF(AND(N('Входные данные'!$G$37)=2,M125&gt;N('Входные данные'!$G$42)),N('Входные данные'!$G$41),0)</f>
        <v>0.7</v>
      </c>
      <c r="N129" s="60" t="n">
        <f aca="false">IF(AND(N('Входные данные'!$G$37)=2,N125&gt;N('Входные данные'!$G$42)),N('Входные данные'!$G$41),0)</f>
        <v>0.7</v>
      </c>
      <c r="O129" s="60" t="n">
        <f aca="false">IF(AND(N('Входные данные'!$G$37)=2,O125&gt;N('Входные данные'!$G$42)),N('Входные данные'!$G$41),0)</f>
        <v>0.7</v>
      </c>
      <c r="P129" s="60"/>
    </row>
    <row r="130" customFormat="false" ht="15" hidden="false" customHeight="false" outlineLevel="0" collapsed="false">
      <c r="B130" s="46" t="s">
        <v>504</v>
      </c>
      <c r="C130" s="58"/>
      <c r="D130" s="58" t="n">
        <f aca="false">MIN(D128*(1-D129),Воронка!$E$19)</f>
        <v>5.0625</v>
      </c>
      <c r="E130" s="58" t="n">
        <f aca="false">MIN(E128*(1-E129),Воронка!$E$19)</f>
        <v>10</v>
      </c>
      <c r="F130" s="58" t="n">
        <f aca="false">MIN(F128*(1-F129),Воронка!$E$19)</f>
        <v>10</v>
      </c>
      <c r="G130" s="58" t="n">
        <f aca="false">MIN(G128*(1-G129),Воронка!$E$19)</f>
        <v>3.0375</v>
      </c>
      <c r="H130" s="58" t="n">
        <f aca="false">MIN(H128*(1-H129),Воронка!$E$19)</f>
        <v>3.0375</v>
      </c>
      <c r="I130" s="58" t="n">
        <f aca="false">MIN(I128*(1-I129),Воронка!$E$19)</f>
        <v>3.0375</v>
      </c>
      <c r="J130" s="58" t="n">
        <f aca="false">MIN(J128*(1-J129),Воронка!$E$19)</f>
        <v>3.0375</v>
      </c>
      <c r="K130" s="58" t="n">
        <f aca="false">MIN(K128*(1-K129),Воронка!$E$19)</f>
        <v>3.0375</v>
      </c>
      <c r="L130" s="58" t="n">
        <f aca="false">MIN(L128*(1-L129),Воронка!$E$19)</f>
        <v>3.0375</v>
      </c>
      <c r="M130" s="58" t="n">
        <f aca="false">MIN(M128*(1-M129),Воронка!$E$19)</f>
        <v>3.0375</v>
      </c>
      <c r="N130" s="58" t="n">
        <f aca="false">MIN(N128*(1-N129),Воронка!$E$19)</f>
        <v>3.0375</v>
      </c>
      <c r="O130" s="58" t="n">
        <f aca="false">MIN(O128*(1-O129),Воронка!$E$19)</f>
        <v>3.0375</v>
      </c>
      <c r="P130" s="58" t="n">
        <f aca="false">SUM(D130:O130)</f>
        <v>52.4</v>
      </c>
    </row>
    <row r="131" customFormat="false" ht="15" hidden="false" customHeight="false" outlineLevel="0" collapsed="false">
      <c r="B131" s="46" t="s">
        <v>505</v>
      </c>
      <c r="C131" s="58"/>
      <c r="D131" s="58" t="n">
        <f aca="false">D128*(1-D129)-D130</f>
        <v>0</v>
      </c>
      <c r="E131" s="58" t="n">
        <f aca="false">E128*(1-E129)-E130</f>
        <v>0.125000000000002</v>
      </c>
      <c r="F131" s="58" t="n">
        <f aca="false">F128*(1-F129)-F130</f>
        <v>0.125000000000002</v>
      </c>
      <c r="G131" s="58" t="n">
        <f aca="false">G128*(1-G129)-G130</f>
        <v>0</v>
      </c>
      <c r="H131" s="58" t="n">
        <f aca="false">H128*(1-H129)-H130</f>
        <v>0</v>
      </c>
      <c r="I131" s="58" t="n">
        <f aca="false">I128*(1-I129)-I130</f>
        <v>0</v>
      </c>
      <c r="J131" s="58" t="n">
        <f aca="false">J128*(1-J129)-J130</f>
        <v>0</v>
      </c>
      <c r="K131" s="58" t="n">
        <f aca="false">K128*(1-K129)-K130</f>
        <v>0</v>
      </c>
      <c r="L131" s="58" t="n">
        <f aca="false">L128*(1-L129)-L130</f>
        <v>0</v>
      </c>
      <c r="M131" s="58" t="n">
        <f aca="false">M128*(1-M129)-M130</f>
        <v>0</v>
      </c>
      <c r="N131" s="58" t="n">
        <f aca="false">N128*(1-N129)-N130</f>
        <v>0</v>
      </c>
      <c r="O131" s="58" t="n">
        <f aca="false">O128*(1-O129)-O130</f>
        <v>0</v>
      </c>
      <c r="P131" s="58" t="n">
        <f aca="false">SUM(D131:O131)</f>
        <v>0.250000000000004</v>
      </c>
    </row>
    <row r="132" customFormat="false" ht="15" hidden="false" customHeight="false" outlineLevel="0" collapsed="false">
      <c r="B132" s="46" t="s">
        <v>506</v>
      </c>
      <c r="C132" s="58"/>
      <c r="D132" s="58" t="n">
        <f aca="false">D128*D129</f>
        <v>0</v>
      </c>
      <c r="E132" s="58" t="n">
        <f aca="false">E128*E129</f>
        <v>0</v>
      </c>
      <c r="F132" s="58" t="n">
        <f aca="false">F128*F129</f>
        <v>0</v>
      </c>
      <c r="G132" s="58" t="n">
        <f aca="false">G128*G129</f>
        <v>7.0875</v>
      </c>
      <c r="H132" s="58" t="n">
        <f aca="false">H128*H129</f>
        <v>7.0875</v>
      </c>
      <c r="I132" s="58" t="n">
        <f aca="false">I128*I129</f>
        <v>7.0875</v>
      </c>
      <c r="J132" s="58" t="n">
        <f aca="false">J128*J129</f>
        <v>7.0875</v>
      </c>
      <c r="K132" s="58" t="n">
        <f aca="false">K128*K129</f>
        <v>7.0875</v>
      </c>
      <c r="L132" s="58" t="n">
        <f aca="false">L128*L129</f>
        <v>7.0875</v>
      </c>
      <c r="M132" s="58" t="n">
        <f aca="false">M128*M129</f>
        <v>7.0875</v>
      </c>
      <c r="N132" s="58" t="n">
        <f aca="false">N128*N129</f>
        <v>7.0875</v>
      </c>
      <c r="O132" s="58" t="n">
        <f aca="false">O128*O129</f>
        <v>7.0875</v>
      </c>
      <c r="P132" s="58" t="n">
        <f aca="false">SUM(D132:O132)</f>
        <v>63.7875</v>
      </c>
    </row>
    <row r="133" customFormat="false" ht="15" hidden="false" customHeight="false" outlineLevel="0" collapsed="false">
      <c r="B133" s="46" t="s">
        <v>507</v>
      </c>
      <c r="C133" s="59"/>
      <c r="D133" s="59" t="n">
        <f aca="false">D130*'Юнит-экономика'!$E$8</f>
        <v>5163750</v>
      </c>
      <c r="E133" s="59" t="n">
        <f aca="false">E130*'Юнит-экономика'!$E$8</f>
        <v>10200000</v>
      </c>
      <c r="F133" s="59" t="n">
        <f aca="false">F130*'Юнит-экономика'!$E$8</f>
        <v>10200000</v>
      </c>
      <c r="G133" s="59" t="n">
        <f aca="false">G130*'Юнит-экономика'!$E$8</f>
        <v>3098250</v>
      </c>
      <c r="H133" s="59" t="n">
        <f aca="false">H130*'Юнит-экономика'!$E$8</f>
        <v>3098250</v>
      </c>
      <c r="I133" s="59" t="n">
        <f aca="false">I130*'Юнит-экономика'!$E$8</f>
        <v>3098250</v>
      </c>
      <c r="J133" s="59" t="n">
        <f aca="false">J130*'Юнит-экономика'!$E$8</f>
        <v>3098250</v>
      </c>
      <c r="K133" s="59" t="n">
        <f aca="false">K130*'Юнит-экономика'!$E$8</f>
        <v>3098250</v>
      </c>
      <c r="L133" s="59" t="n">
        <f aca="false">L130*'Юнит-экономика'!$E$8</f>
        <v>3098250</v>
      </c>
      <c r="M133" s="59" t="n">
        <f aca="false">M130*'Юнит-экономика'!$E$8</f>
        <v>3098250</v>
      </c>
      <c r="N133" s="59" t="n">
        <f aca="false">N130*'Юнит-экономика'!$E$8</f>
        <v>3098250</v>
      </c>
      <c r="O133" s="59" t="n">
        <f aca="false">O130*'Юнит-экономика'!$E$8</f>
        <v>3098250</v>
      </c>
      <c r="P133" s="59" t="n">
        <f aca="false">SUM(D133:O133)</f>
        <v>53448000</v>
      </c>
    </row>
    <row r="134" customFormat="false" ht="15" hidden="false" customHeight="false" outlineLevel="0" collapsed="false">
      <c r="B134" s="46" t="s">
        <v>508</v>
      </c>
      <c r="C134" s="59"/>
      <c r="D134" s="59" t="n">
        <f aca="false">D130*'Юнит-экономика'!$E$29+D132*'Юнит-экономика'!$E$27</f>
        <v>516375</v>
      </c>
      <c r="E134" s="59" t="n">
        <f aca="false">E130*'Юнит-экономика'!$E$29+E132*'Юнит-экономика'!$E$27</f>
        <v>1020000</v>
      </c>
      <c r="F134" s="59" t="n">
        <f aca="false">F130*'Юнит-экономика'!$E$29+F132*'Юнит-экономика'!$E$27</f>
        <v>1020000</v>
      </c>
      <c r="G134" s="59" t="n">
        <f aca="false">G130*'Юнит-экономика'!$E$29+G132*'Юнит-экономика'!$E$27</f>
        <v>1018575</v>
      </c>
      <c r="H134" s="59" t="n">
        <f aca="false">H130*'Юнит-экономика'!$E$29+H132*'Юнит-экономика'!$E$27</f>
        <v>1018575</v>
      </c>
      <c r="I134" s="59" t="n">
        <f aca="false">I130*'Юнит-экономика'!$E$29+I132*'Юнит-экономика'!$E$27</f>
        <v>1018575</v>
      </c>
      <c r="J134" s="59" t="n">
        <f aca="false">J130*'Юнит-экономика'!$E$29+J132*'Юнит-экономика'!$E$27</f>
        <v>1018575</v>
      </c>
      <c r="K134" s="59" t="n">
        <f aca="false">K130*'Юнит-экономика'!$E$29+K132*'Юнит-экономика'!$E$27</f>
        <v>1018575</v>
      </c>
      <c r="L134" s="59" t="n">
        <f aca="false">L130*'Юнит-экономика'!$E$29+L132*'Юнит-экономика'!$E$27</f>
        <v>1018575</v>
      </c>
      <c r="M134" s="59" t="n">
        <f aca="false">M130*'Юнит-экономика'!$E$29+M132*'Юнит-экономика'!$E$27</f>
        <v>1018575</v>
      </c>
      <c r="N134" s="59" t="n">
        <f aca="false">N130*'Юнит-экономика'!$E$29+N132*'Юнит-экономика'!$E$27</f>
        <v>1018575</v>
      </c>
      <c r="O134" s="59" t="n">
        <f aca="false">O130*'Юнит-экономика'!$E$29+O132*'Юнит-экономика'!$E$27</f>
        <v>1018575</v>
      </c>
      <c r="P134" s="59" t="n">
        <f aca="false">SUM(D134:O134)</f>
        <v>11723550</v>
      </c>
    </row>
    <row r="135" customFormat="false" ht="15" hidden="false" customHeight="false" outlineLevel="0" collapsed="false">
      <c r="B135" s="46" t="s">
        <v>509</v>
      </c>
      <c r="C135" s="59"/>
      <c r="D135" s="59" t="n">
        <f aca="false">D130*'Юнит-экономика'!$E$28*(1-N('Входные данные'!$G$44))</f>
        <v>3027375</v>
      </c>
      <c r="E135" s="59" t="n">
        <f aca="false">E130*'Юнит-экономика'!$E$28*(1-N('Входные данные'!$G$44))</f>
        <v>5980000</v>
      </c>
      <c r="F135" s="59" t="n">
        <f aca="false">F130*'Юнит-экономика'!$E$28*(1-N('Входные данные'!$G$44))</f>
        <v>5980000</v>
      </c>
      <c r="G135" s="59" t="n">
        <f aca="false">G130*'Юнит-экономика'!$E$28*(1-N('Входные данные'!$G$44))</f>
        <v>1816425</v>
      </c>
      <c r="H135" s="59" t="n">
        <f aca="false">H130*'Юнит-экономика'!$E$28*(1-N('Входные данные'!$G$44))</f>
        <v>1816425</v>
      </c>
      <c r="I135" s="59" t="n">
        <f aca="false">I130*'Юнит-экономика'!$E$28*(1-N('Входные данные'!$G$44))</f>
        <v>1816425</v>
      </c>
      <c r="J135" s="59" t="n">
        <f aca="false">J130*'Юнит-экономика'!$E$28*(1-N('Входные данные'!$G$44))</f>
        <v>1816425</v>
      </c>
      <c r="K135" s="59" t="n">
        <f aca="false">K130*'Юнит-экономика'!$E$28*(1-N('Входные данные'!$G$44))</f>
        <v>1816425</v>
      </c>
      <c r="L135" s="59" t="n">
        <f aca="false">L130*'Юнит-экономика'!$E$28*(1-N('Входные данные'!$G$44))</f>
        <v>1816425</v>
      </c>
      <c r="M135" s="59" t="n">
        <f aca="false">M130*'Юнит-экономика'!$E$28*(1-N('Входные данные'!$G$44))</f>
        <v>1816425</v>
      </c>
      <c r="N135" s="59" t="n">
        <f aca="false">N130*'Юнит-экономика'!$E$28*(1-N('Входные данные'!$G$44))</f>
        <v>1816425</v>
      </c>
      <c r="O135" s="59" t="n">
        <f aca="false">O130*'Юнит-экономика'!$E$28*(1-N('Входные данные'!$G$44))</f>
        <v>1816425</v>
      </c>
      <c r="P135" s="59" t="n">
        <f aca="false">SUM(D135:O135)</f>
        <v>31335200</v>
      </c>
    </row>
    <row r="136" customFormat="false" ht="15" hidden="false" customHeight="false" outlineLevel="0" collapsed="false">
      <c r="B136" s="46" t="s">
        <v>510</v>
      </c>
      <c r="C136" s="59"/>
      <c r="D136" s="59" t="n">
        <f aca="false">D134+D135</f>
        <v>3543750</v>
      </c>
      <c r="E136" s="59" t="n">
        <f aca="false">E134+E135</f>
        <v>7000000</v>
      </c>
      <c r="F136" s="59" t="n">
        <f aca="false">F134+F135</f>
        <v>7000000</v>
      </c>
      <c r="G136" s="59" t="n">
        <f aca="false">G134+G135</f>
        <v>2835000</v>
      </c>
      <c r="H136" s="59" t="n">
        <f aca="false">H134+H135</f>
        <v>2835000</v>
      </c>
      <c r="I136" s="59" t="n">
        <f aca="false">I134+I135</f>
        <v>2835000</v>
      </c>
      <c r="J136" s="59" t="n">
        <f aca="false">J134+J135</f>
        <v>2835000</v>
      </c>
      <c r="K136" s="59" t="n">
        <f aca="false">K134+K135</f>
        <v>2835000</v>
      </c>
      <c r="L136" s="59" t="n">
        <f aca="false">L134+L135</f>
        <v>2835000</v>
      </c>
      <c r="M136" s="59" t="n">
        <f aca="false">M134+M135</f>
        <v>2835000</v>
      </c>
      <c r="N136" s="59" t="n">
        <f aca="false">N134+N135</f>
        <v>2835000</v>
      </c>
      <c r="O136" s="59" t="n">
        <f aca="false">O134+O135</f>
        <v>2835000</v>
      </c>
      <c r="P136" s="59" t="n">
        <f aca="false">SUM(D136:O136)</f>
        <v>43058750</v>
      </c>
    </row>
    <row r="137" customFormat="false" ht="15" hidden="false" customHeight="false" outlineLevel="0" collapsed="false">
      <c r="B137" s="46" t="s">
        <v>511</v>
      </c>
      <c r="C137" s="59"/>
      <c r="D137" s="59" t="n">
        <f aca="false">Сценарии_BEP!$E$21</f>
        <v>8750000</v>
      </c>
      <c r="E137" s="59" t="n">
        <f aca="false">Сценарии_BEP!$E$21</f>
        <v>8750000</v>
      </c>
      <c r="F137" s="59" t="n">
        <f aca="false">Сценарии_BEP!$E$21</f>
        <v>8750000</v>
      </c>
      <c r="G137" s="59" t="n">
        <f aca="false">Сценарии_BEP!$E$21</f>
        <v>8750000</v>
      </c>
      <c r="H137" s="59" t="n">
        <f aca="false">Сценарии_BEP!$E$21</f>
        <v>8750000</v>
      </c>
      <c r="I137" s="59" t="n">
        <f aca="false">Сценарии_BEP!$E$21</f>
        <v>8750000</v>
      </c>
      <c r="J137" s="59" t="n">
        <f aca="false">Сценарии_BEP!$E$21</f>
        <v>8750000</v>
      </c>
      <c r="K137" s="59" t="n">
        <f aca="false">Сценарии_BEP!$E$21</f>
        <v>8750000</v>
      </c>
      <c r="L137" s="59" t="n">
        <f aca="false">Сценарии_BEP!$E$21</f>
        <v>8750000</v>
      </c>
      <c r="M137" s="59" t="n">
        <f aca="false">Сценарии_BEP!$E$21</f>
        <v>8750000</v>
      </c>
      <c r="N137" s="59" t="n">
        <f aca="false">Сценарии_BEP!$E$21</f>
        <v>8750000</v>
      </c>
      <c r="O137" s="59" t="n">
        <f aca="false">Сценарии_BEP!$E$21</f>
        <v>8750000</v>
      </c>
      <c r="P137" s="59" t="n">
        <f aca="false">SUM(D137:O137)</f>
        <v>105000000</v>
      </c>
    </row>
    <row r="138" customFormat="false" ht="15" hidden="false" customHeight="false" outlineLevel="0" collapsed="false">
      <c r="B138" s="3" t="s">
        <v>512</v>
      </c>
      <c r="C138" s="61"/>
      <c r="D138" s="61" t="n">
        <f aca="false">D136-D137</f>
        <v>-5206250</v>
      </c>
      <c r="E138" s="61" t="n">
        <f aca="false">E136-E137</f>
        <v>-1750000</v>
      </c>
      <c r="F138" s="61" t="n">
        <f aca="false">F136-F137</f>
        <v>-1750000</v>
      </c>
      <c r="G138" s="61" t="n">
        <f aca="false">G136-G137</f>
        <v>-5915000</v>
      </c>
      <c r="H138" s="61" t="n">
        <f aca="false">H136-H137</f>
        <v>-5915000</v>
      </c>
      <c r="I138" s="61" t="n">
        <f aca="false">I136-I137</f>
        <v>-5915000</v>
      </c>
      <c r="J138" s="61" t="n">
        <f aca="false">J136-J137</f>
        <v>-5915000</v>
      </c>
      <c r="K138" s="61" t="n">
        <f aca="false">K136-K137</f>
        <v>-5915000</v>
      </c>
      <c r="L138" s="61" t="n">
        <f aca="false">L136-L137</f>
        <v>-5915000</v>
      </c>
      <c r="M138" s="61" t="n">
        <f aca="false">M136-M137</f>
        <v>-5915000</v>
      </c>
      <c r="N138" s="61" t="n">
        <f aca="false">N136-N137</f>
        <v>-5915000</v>
      </c>
      <c r="O138" s="61" t="n">
        <f aca="false">O136-O137</f>
        <v>-5915000</v>
      </c>
      <c r="P138" s="61" t="n">
        <f aca="false">SUM(D138:O138)</f>
        <v>-61941250</v>
      </c>
    </row>
    <row r="139" customFormat="false" ht="15" hidden="false" customHeight="false" outlineLevel="0" collapsed="false">
      <c r="B139" s="3" t="s">
        <v>513</v>
      </c>
      <c r="C139" s="61"/>
      <c r="D139" s="61" t="n">
        <f aca="false">D134-D137</f>
        <v>-8233625</v>
      </c>
      <c r="E139" s="61" t="n">
        <f aca="false">E134-E137</f>
        <v>-7730000</v>
      </c>
      <c r="F139" s="61" t="n">
        <f aca="false">F134-F137</f>
        <v>-7730000</v>
      </c>
      <c r="G139" s="61" t="n">
        <f aca="false">G134-G137</f>
        <v>-7731425</v>
      </c>
      <c r="H139" s="61" t="n">
        <f aca="false">H134-H137</f>
        <v>-7731425</v>
      </c>
      <c r="I139" s="61" t="n">
        <f aca="false">I134-I137</f>
        <v>-7731425</v>
      </c>
      <c r="J139" s="61" t="n">
        <f aca="false">J134-J137</f>
        <v>-7731425</v>
      </c>
      <c r="K139" s="61" t="n">
        <f aca="false">K134-K137</f>
        <v>-7731425</v>
      </c>
      <c r="L139" s="61" t="n">
        <f aca="false">L134-L137</f>
        <v>-7731425</v>
      </c>
      <c r="M139" s="61" t="n">
        <f aca="false">M134-M137</f>
        <v>-7731425</v>
      </c>
      <c r="N139" s="61" t="n">
        <f aca="false">N134-N137</f>
        <v>-7731425</v>
      </c>
      <c r="O139" s="61" t="n">
        <f aca="false">O134-O137</f>
        <v>-7731425</v>
      </c>
      <c r="P139" s="61" t="n">
        <f aca="false">SUM(D139:O139)</f>
        <v>-93276450</v>
      </c>
    </row>
    <row r="140" customFormat="false" ht="15" hidden="false" customHeight="false" outlineLevel="0" collapsed="false">
      <c r="B140" s="46" t="s">
        <v>514</v>
      </c>
      <c r="C140" s="59" t="n">
        <v>0</v>
      </c>
      <c r="D140" s="59" t="n">
        <f aca="false">C140+D138</f>
        <v>-5206250</v>
      </c>
      <c r="E140" s="59" t="n">
        <f aca="false">D140+E138</f>
        <v>-6956250</v>
      </c>
      <c r="F140" s="59" t="n">
        <f aca="false">E140+F138</f>
        <v>-8706250</v>
      </c>
      <c r="G140" s="59" t="n">
        <f aca="false">F140+G138</f>
        <v>-14621250</v>
      </c>
      <c r="H140" s="59" t="n">
        <f aca="false">G140+H138</f>
        <v>-20536250</v>
      </c>
      <c r="I140" s="59" t="n">
        <f aca="false">H140+I138</f>
        <v>-26451250</v>
      </c>
      <c r="J140" s="59" t="n">
        <f aca="false">I140+J138</f>
        <v>-32366250</v>
      </c>
      <c r="K140" s="59" t="n">
        <f aca="false">J140+K138</f>
        <v>-38281250</v>
      </c>
      <c r="L140" s="59" t="n">
        <f aca="false">K140+L138</f>
        <v>-44196250</v>
      </c>
      <c r="M140" s="59" t="n">
        <f aca="false">L140+M138</f>
        <v>-50111250</v>
      </c>
      <c r="N140" s="59" t="n">
        <f aca="false">M140+N138</f>
        <v>-56026250</v>
      </c>
      <c r="O140" s="59" t="n">
        <f aca="false">N140+O138</f>
        <v>-61941250</v>
      </c>
      <c r="P140" s="59"/>
    </row>
    <row r="141" customFormat="false" ht="15" hidden="false" customHeight="false" outlineLevel="0" collapsed="false">
      <c r="B141" s="46" t="s">
        <v>515</v>
      </c>
      <c r="C141" s="59" t="n">
        <v>0</v>
      </c>
      <c r="D141" s="59" t="n">
        <f aca="false">C141+D139</f>
        <v>-8233625</v>
      </c>
      <c r="E141" s="59" t="n">
        <f aca="false">D141+E139</f>
        <v>-15963625</v>
      </c>
      <c r="F141" s="59" t="n">
        <f aca="false">E141+F139</f>
        <v>-23693625</v>
      </c>
      <c r="G141" s="59" t="n">
        <f aca="false">F141+G139</f>
        <v>-31425050</v>
      </c>
      <c r="H141" s="59" t="n">
        <f aca="false">G141+H139</f>
        <v>-39156475</v>
      </c>
      <c r="I141" s="59" t="n">
        <f aca="false">H141+I139</f>
        <v>-46887900</v>
      </c>
      <c r="J141" s="59" t="n">
        <f aca="false">I141+J139</f>
        <v>-54619325</v>
      </c>
      <c r="K141" s="59" t="n">
        <f aca="false">J141+K139</f>
        <v>-62350750</v>
      </c>
      <c r="L141" s="59" t="n">
        <f aca="false">K141+L139</f>
        <v>-70082175</v>
      </c>
      <c r="M141" s="59" t="n">
        <f aca="false">L141+M139</f>
        <v>-77813600</v>
      </c>
      <c r="N141" s="59" t="n">
        <f aca="false">M141+N139</f>
        <v>-85545025</v>
      </c>
      <c r="O141" s="59" t="n">
        <f aca="false">N141+O139</f>
        <v>-93276450</v>
      </c>
      <c r="P141" s="59"/>
    </row>
    <row r="142" customFormat="false" ht="15" hidden="false" customHeight="false" outlineLevel="0" collapsed="false">
      <c r="B142" s="46" t="s">
        <v>516</v>
      </c>
      <c r="C142" s="59" t="n">
        <f aca="false">-Сценарии_BEP!$E$29</f>
        <v>-64500000</v>
      </c>
      <c r="D142" s="59" t="n">
        <v>0</v>
      </c>
      <c r="E142" s="59" t="n">
        <v>0</v>
      </c>
      <c r="F142" s="59" t="n">
        <v>0</v>
      </c>
      <c r="G142" s="59" t="n">
        <v>0</v>
      </c>
      <c r="H142" s="59" t="n">
        <v>0</v>
      </c>
      <c r="I142" s="59" t="n">
        <v>0</v>
      </c>
      <c r="J142" s="59" t="n">
        <v>0</v>
      </c>
      <c r="K142" s="59" t="n">
        <v>0</v>
      </c>
      <c r="L142" s="59" t="n">
        <v>0</v>
      </c>
      <c r="M142" s="59" t="n">
        <v>0</v>
      </c>
      <c r="N142" s="59" t="n">
        <v>0</v>
      </c>
      <c r="O142" s="59" t="n">
        <v>0</v>
      </c>
      <c r="P142" s="59" t="n">
        <f aca="false">C142</f>
        <v>-64500000</v>
      </c>
    </row>
    <row r="143" customFormat="false" ht="15" hidden="false" customHeight="false" outlineLevel="0" collapsed="false">
      <c r="B143" s="3" t="s">
        <v>517</v>
      </c>
      <c r="C143" s="61" t="n">
        <f aca="false">C142</f>
        <v>-64500000</v>
      </c>
      <c r="D143" s="61" t="n">
        <f aca="false">C143+D138+D142</f>
        <v>-69706250</v>
      </c>
      <c r="E143" s="61" t="n">
        <f aca="false">D143+E138+E142</f>
        <v>-71456250</v>
      </c>
      <c r="F143" s="61" t="n">
        <f aca="false">E143+F138+F142</f>
        <v>-73206250</v>
      </c>
      <c r="G143" s="61" t="n">
        <f aca="false">F143+G138+G142</f>
        <v>-79121250</v>
      </c>
      <c r="H143" s="61" t="n">
        <f aca="false">G143+H138+H142</f>
        <v>-85036250</v>
      </c>
      <c r="I143" s="61" t="n">
        <f aca="false">H143+I138+I142</f>
        <v>-90951250</v>
      </c>
      <c r="J143" s="61" t="n">
        <f aca="false">I143+J138+J142</f>
        <v>-96866250</v>
      </c>
      <c r="K143" s="61" t="n">
        <f aca="false">J143+K138+K142</f>
        <v>-102781250</v>
      </c>
      <c r="L143" s="61" t="n">
        <f aca="false">K143+L138+L142</f>
        <v>-108696250</v>
      </c>
      <c r="M143" s="61" t="n">
        <f aca="false">L143+M138+M142</f>
        <v>-114611250</v>
      </c>
      <c r="N143" s="61" t="n">
        <f aca="false">M143+N138+N142</f>
        <v>-120526250</v>
      </c>
      <c r="O143" s="61" t="n">
        <f aca="false">N143+O138+O142</f>
        <v>-126441250</v>
      </c>
      <c r="P143" s="61"/>
    </row>
    <row r="144" customFormat="false" ht="15" hidden="false" customHeight="false" outlineLevel="0" collapsed="false">
      <c r="B144" s="3" t="s">
        <v>518</v>
      </c>
      <c r="C144" s="61" t="n">
        <f aca="false">C142</f>
        <v>-64500000</v>
      </c>
      <c r="D144" s="61" t="n">
        <f aca="false">C144+D139+D142</f>
        <v>-72733625</v>
      </c>
      <c r="E144" s="61" t="n">
        <f aca="false">D144+E139+E142</f>
        <v>-80463625</v>
      </c>
      <c r="F144" s="61" t="n">
        <f aca="false">E144+F139+F142</f>
        <v>-88193625</v>
      </c>
      <c r="G144" s="61" t="n">
        <f aca="false">F144+G139+G142</f>
        <v>-95925050</v>
      </c>
      <c r="H144" s="61" t="n">
        <f aca="false">G144+H139+H142</f>
        <v>-103656475</v>
      </c>
      <c r="I144" s="61" t="n">
        <f aca="false">H144+I139+I142</f>
        <v>-111387900</v>
      </c>
      <c r="J144" s="61" t="n">
        <f aca="false">I144+J139+J142</f>
        <v>-119119325</v>
      </c>
      <c r="K144" s="61" t="n">
        <f aca="false">J144+K139+K142</f>
        <v>-126850750</v>
      </c>
      <c r="L144" s="61" t="n">
        <f aca="false">K144+L139+L142</f>
        <v>-134582175</v>
      </c>
      <c r="M144" s="61" t="n">
        <f aca="false">L144+M139+M142</f>
        <v>-142313600</v>
      </c>
      <c r="N144" s="61" t="n">
        <f aca="false">M144+N139+N142</f>
        <v>-150045025</v>
      </c>
      <c r="O144" s="61" t="n">
        <f aca="false">N144+O139+O142</f>
        <v>-157776450</v>
      </c>
      <c r="P144" s="61"/>
    </row>
    <row r="145" customFormat="false" ht="15" hidden="false" customHeight="false" outlineLevel="0" collapsed="false">
      <c r="B145" s="46" t="s">
        <v>519</v>
      </c>
      <c r="C145" s="59"/>
      <c r="D145" s="59" t="str">
        <f aca="false">IF(D140&gt;=0,D125,"")</f>
        <v/>
      </c>
      <c r="E145" s="59" t="str">
        <f aca="false">IF(E140&gt;=0,E125,"")</f>
        <v/>
      </c>
      <c r="F145" s="59" t="str">
        <f aca="false">IF(F140&gt;=0,F125,"")</f>
        <v/>
      </c>
      <c r="G145" s="59" t="str">
        <f aca="false">IF(G140&gt;=0,G125,"")</f>
        <v/>
      </c>
      <c r="H145" s="59" t="str">
        <f aca="false">IF(H140&gt;=0,H125,"")</f>
        <v/>
      </c>
      <c r="I145" s="59" t="str">
        <f aca="false">IF(I140&gt;=0,I125,"")</f>
        <v/>
      </c>
      <c r="J145" s="59" t="str">
        <f aca="false">IF(J140&gt;=0,J125,"")</f>
        <v/>
      </c>
      <c r="K145" s="59" t="str">
        <f aca="false">IF(K140&gt;=0,K125,"")</f>
        <v/>
      </c>
      <c r="L145" s="59" t="str">
        <f aca="false">IF(L140&gt;=0,L125,"")</f>
        <v/>
      </c>
      <c r="M145" s="59" t="str">
        <f aca="false">IF(M140&gt;=0,M125,"")</f>
        <v/>
      </c>
      <c r="N145" s="59" t="str">
        <f aca="false">IF(N140&gt;=0,N125,"")</f>
        <v/>
      </c>
      <c r="O145" s="59" t="str">
        <f aca="false">IF(O140&gt;=0,O125,"")</f>
        <v/>
      </c>
      <c r="P145" s="59"/>
    </row>
    <row r="146" customFormat="false" ht="15" hidden="false" customHeight="false" outlineLevel="0" collapsed="false">
      <c r="B146" s="46" t="s">
        <v>520</v>
      </c>
      <c r="C146" s="59"/>
      <c r="D146" s="59" t="str">
        <f aca="false">IF(D143&gt;=0,D125,"")</f>
        <v/>
      </c>
      <c r="E146" s="59" t="str">
        <f aca="false">IF(E143&gt;=0,E125,"")</f>
        <v/>
      </c>
      <c r="F146" s="59" t="str">
        <f aca="false">IF(F143&gt;=0,F125,"")</f>
        <v/>
      </c>
      <c r="G146" s="59" t="str">
        <f aca="false">IF(G143&gt;=0,G125,"")</f>
        <v/>
      </c>
      <c r="H146" s="59" t="str">
        <f aca="false">IF(H143&gt;=0,H125,"")</f>
        <v/>
      </c>
      <c r="I146" s="59" t="str">
        <f aca="false">IF(I143&gt;=0,I125,"")</f>
        <v/>
      </c>
      <c r="J146" s="59" t="str">
        <f aca="false">IF(J143&gt;=0,J125,"")</f>
        <v/>
      </c>
      <c r="K146" s="59" t="str">
        <f aca="false">IF(K143&gt;=0,K125,"")</f>
        <v/>
      </c>
      <c r="L146" s="59" t="str">
        <f aca="false">IF(L143&gt;=0,L125,"")</f>
        <v/>
      </c>
      <c r="M146" s="59" t="str">
        <f aca="false">IF(M143&gt;=0,M125,"")</f>
        <v/>
      </c>
      <c r="N146" s="59" t="str">
        <f aca="false">IF(N143&gt;=0,N125,"")</f>
        <v/>
      </c>
      <c r="O146" s="59" t="str">
        <f aca="false">IF(O143&gt;=0,O125,"")</f>
        <v/>
      </c>
      <c r="P146" s="59"/>
    </row>
    <row r="147" customFormat="false" ht="15" hidden="false" customHeight="false" outlineLevel="0" collapsed="false">
      <c r="B147" s="46" t="s">
        <v>521</v>
      </c>
      <c r="C147" s="59"/>
      <c r="D147" s="59" t="str">
        <f aca="false">IF(D144&gt;=0,D125,"")</f>
        <v/>
      </c>
      <c r="E147" s="59" t="str">
        <f aca="false">IF(E144&gt;=0,E125,"")</f>
        <v/>
      </c>
      <c r="F147" s="59" t="str">
        <f aca="false">IF(F144&gt;=0,F125,"")</f>
        <v/>
      </c>
      <c r="G147" s="59" t="str">
        <f aca="false">IF(G144&gt;=0,G125,"")</f>
        <v/>
      </c>
      <c r="H147" s="59" t="str">
        <f aca="false">IF(H144&gt;=0,H125,"")</f>
        <v/>
      </c>
      <c r="I147" s="59" t="str">
        <f aca="false">IF(I144&gt;=0,I125,"")</f>
        <v/>
      </c>
      <c r="J147" s="59" t="str">
        <f aca="false">IF(J144&gt;=0,J125,"")</f>
        <v/>
      </c>
      <c r="K147" s="59" t="str">
        <f aca="false">IF(K144&gt;=0,K125,"")</f>
        <v/>
      </c>
      <c r="L147" s="59" t="str">
        <f aca="false">IF(L144&gt;=0,L125,"")</f>
        <v/>
      </c>
      <c r="M147" s="59" t="str">
        <f aca="false">IF(M144&gt;=0,M125,"")</f>
        <v/>
      </c>
      <c r="N147" s="59" t="str">
        <f aca="false">IF(N144&gt;=0,N125,"")</f>
        <v/>
      </c>
      <c r="O147" s="59" t="str">
        <f aca="false">IF(O144&gt;=0,O125,"")</f>
        <v/>
      </c>
      <c r="P147" s="5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6" min="3" style="0" width="18"/>
  </cols>
  <sheetData>
    <row r="1" customFormat="false" ht="17.35" hidden="false" customHeight="false" outlineLevel="0" collapsed="false">
      <c r="A1" s="1" t="s">
        <v>524</v>
      </c>
    </row>
    <row r="2" customFormat="false" ht="15" hidden="false" customHeight="false" outlineLevel="0" collapsed="false">
      <c r="A2" s="2" t="s">
        <v>525</v>
      </c>
    </row>
    <row r="4" customFormat="false" ht="15" hidden="false" customHeight="false" outlineLevel="0" collapsed="false">
      <c r="B4" s="44" t="s">
        <v>526</v>
      </c>
      <c r="C4" s="45"/>
      <c r="D4" s="45"/>
      <c r="E4" s="45"/>
      <c r="F4" s="45"/>
    </row>
    <row r="5" customFormat="false" ht="15" hidden="false" customHeight="false" outlineLevel="0" collapsed="false">
      <c r="B5" s="10" t="s">
        <v>325</v>
      </c>
      <c r="C5" s="43" t="s">
        <v>527</v>
      </c>
      <c r="D5" s="43" t="s">
        <v>528</v>
      </c>
      <c r="E5" s="43" t="s">
        <v>529</v>
      </c>
      <c r="F5" s="43" t="s">
        <v>530</v>
      </c>
    </row>
    <row r="6" customFormat="false" ht="15" hidden="false" customHeight="false" outlineLevel="0" collapsed="false">
      <c r="B6" s="46" t="s">
        <v>531</v>
      </c>
      <c r="C6" s="50" t="n">
        <v>1</v>
      </c>
      <c r="D6" s="50" t="n">
        <f aca="false">N('Входные данные'!$E$47)</f>
        <v>0.25</v>
      </c>
      <c r="E6" s="50" t="n">
        <v>1</v>
      </c>
      <c r="F6" s="50" t="n">
        <f aca="false">N('Входные данные'!$E$47)</f>
        <v>0.25</v>
      </c>
    </row>
    <row r="7" customFormat="false" ht="15" hidden="false" customHeight="false" outlineLevel="0" collapsed="false">
      <c r="B7" s="46" t="s">
        <v>532</v>
      </c>
      <c r="C7" s="53" t="n">
        <f aca="false">Воронка!$C$12*C6</f>
        <v>0.675</v>
      </c>
      <c r="D7" s="53" t="n">
        <f aca="false">Воронка!$C$12*D6</f>
        <v>0.16875</v>
      </c>
      <c r="E7" s="53" t="n">
        <f aca="false">Воронка!$C$12*E6</f>
        <v>0.675</v>
      </c>
      <c r="F7" s="53" t="n">
        <f aca="false">Воронка!$C$12*F6</f>
        <v>0.16875</v>
      </c>
    </row>
    <row r="8" customFormat="false" ht="15" hidden="false" customHeight="false" outlineLevel="0" collapsed="false">
      <c r="B8" s="46" t="s">
        <v>533</v>
      </c>
      <c r="C8" s="50" t="n">
        <v>0</v>
      </c>
      <c r="D8" s="50" t="n">
        <v>0</v>
      </c>
      <c r="E8" s="50" t="n">
        <f aca="false">N('Входные данные'!$E$41)</f>
        <v>0.7</v>
      </c>
      <c r="F8" s="50" t="n">
        <f aca="false">N('Входные данные'!$E$41)</f>
        <v>0.7</v>
      </c>
    </row>
    <row r="9" customFormat="false" ht="15" hidden="false" customHeight="false" outlineLevel="0" collapsed="false">
      <c r="B9" s="46" t="s">
        <v>504</v>
      </c>
      <c r="C9" s="53" t="n">
        <f aca="false">MIN(C7*(1-C8),Воронка!$C$19)</f>
        <v>0.675</v>
      </c>
      <c r="D9" s="53" t="n">
        <f aca="false">MIN(D7*(1-D8),Воронка!$C$19)</f>
        <v>0.16875</v>
      </c>
      <c r="E9" s="53" t="n">
        <f aca="false">MIN(E7*(1-E8),Воронка!$C$19)</f>
        <v>0.2025</v>
      </c>
      <c r="F9" s="53" t="n">
        <f aca="false">MIN(F7*(1-F8),Воронка!$C$19)</f>
        <v>0.050625</v>
      </c>
    </row>
    <row r="10" customFormat="false" ht="15" hidden="false" customHeight="false" outlineLevel="0" collapsed="false">
      <c r="B10" s="46" t="s">
        <v>506</v>
      </c>
      <c r="C10" s="53" t="n">
        <f aca="false">C7*C8</f>
        <v>0</v>
      </c>
      <c r="D10" s="53" t="n">
        <f aca="false">D7*D8</f>
        <v>0</v>
      </c>
      <c r="E10" s="53" t="n">
        <f aca="false">E7*E8</f>
        <v>0.4725</v>
      </c>
      <c r="F10" s="53" t="n">
        <f aca="false">F7*F8</f>
        <v>0.118125</v>
      </c>
    </row>
    <row r="11" customFormat="false" ht="15" hidden="false" customHeight="false" outlineLevel="0" collapsed="false">
      <c r="B11" s="46" t="s">
        <v>534</v>
      </c>
      <c r="C11" s="47" t="n">
        <f aca="false">(1-C8)*'Юнит-экономика'!$C$23+C8*'Юнит-экономика'!$C$27</f>
        <v>300000</v>
      </c>
      <c r="D11" s="47" t="n">
        <f aca="false">(1-D8)*'Юнит-экономика'!$C$23+D8*'Юнит-экономика'!$C$27</f>
        <v>300000</v>
      </c>
      <c r="E11" s="47" t="n">
        <f aca="false">(1-E8)*'Юнит-экономика'!$C$23+E8*'Юнит-экономика'!$C$27</f>
        <v>160000</v>
      </c>
      <c r="F11" s="47" t="n">
        <f aca="false">(1-F8)*'Юнит-экономика'!$C$23+F8*'Юнит-экономика'!$C$27</f>
        <v>160000</v>
      </c>
    </row>
    <row r="12" customFormat="false" ht="15" hidden="false" customHeight="false" outlineLevel="0" collapsed="false">
      <c r="B12" s="46" t="s">
        <v>535</v>
      </c>
      <c r="C12" s="47" t="n">
        <f aca="false">C13+C9*'Юнит-экономика'!$C$28*(1-N('Входные данные'!$E$44))</f>
        <v>202500</v>
      </c>
      <c r="D12" s="47" t="n">
        <f aca="false">D13+D9*'Юнит-экономика'!$C$28*(1-N('Входные данные'!$E$44))</f>
        <v>50625</v>
      </c>
      <c r="E12" s="47" t="n">
        <f aca="false">E13+E9*'Юнит-экономика'!$C$28*(1-N('Входные данные'!$E$44))</f>
        <v>108000</v>
      </c>
      <c r="F12" s="47" t="n">
        <f aca="false">F13+F9*'Юнит-экономика'!$C$28*(1-N('Входные данные'!$E$44))</f>
        <v>27000</v>
      </c>
    </row>
    <row r="13" customFormat="false" ht="15" hidden="false" customHeight="false" outlineLevel="0" collapsed="false">
      <c r="B13" s="46" t="s">
        <v>536</v>
      </c>
      <c r="C13" s="47" t="n">
        <f aca="false">C9*'Юнит-экономика'!$C$29+C10*'Юнит-экономика'!$C$27</f>
        <v>68850</v>
      </c>
      <c r="D13" s="47" t="n">
        <f aca="false">D9*'Юнит-экономика'!$C$29+D10*'Юнит-экономика'!$C$27</f>
        <v>17212.5</v>
      </c>
      <c r="E13" s="47" t="n">
        <f aca="false">E9*'Юнит-экономика'!$C$29+E10*'Юнит-экономика'!$C$27</f>
        <v>67905</v>
      </c>
      <c r="F13" s="47" t="n">
        <f aca="false">F9*'Юнит-экономика'!$C$29+F10*'Юнит-экономика'!$C$27</f>
        <v>16976.25</v>
      </c>
    </row>
    <row r="14" customFormat="false" ht="15" hidden="false" customHeight="false" outlineLevel="0" collapsed="false">
      <c r="B14" s="46" t="s">
        <v>537</v>
      </c>
      <c r="C14" s="47" t="n">
        <f aca="false">Сценарии_BEP!$C$21</f>
        <v>8750000</v>
      </c>
      <c r="D14" s="47" t="n">
        <f aca="false">Сценарии_BEP!$C$21</f>
        <v>8750000</v>
      </c>
      <c r="E14" s="47" t="n">
        <f aca="false">Сценарии_BEP!$C$21</f>
        <v>8750000</v>
      </c>
      <c r="F14" s="47" t="n">
        <f aca="false">Сценарии_BEP!$C$21</f>
        <v>8750000</v>
      </c>
    </row>
    <row r="15" customFormat="false" ht="15" hidden="false" customHeight="false" outlineLevel="0" collapsed="false">
      <c r="B15" s="3" t="s">
        <v>538</v>
      </c>
      <c r="C15" s="49" t="n">
        <f aca="false">C12-C14</f>
        <v>-8547500</v>
      </c>
      <c r="D15" s="49" t="n">
        <f aca="false">D12-D14</f>
        <v>-8699375</v>
      </c>
      <c r="E15" s="49" t="n">
        <f aca="false">E12-E14</f>
        <v>-8642000</v>
      </c>
      <c r="F15" s="49" t="n">
        <f aca="false">F12-F14</f>
        <v>-8723000</v>
      </c>
    </row>
    <row r="16" customFormat="false" ht="15" hidden="false" customHeight="false" outlineLevel="0" collapsed="false">
      <c r="B16" s="46" t="s">
        <v>539</v>
      </c>
      <c r="C16" s="47" t="n">
        <f aca="false">C13-C14</f>
        <v>-8681150</v>
      </c>
      <c r="D16" s="47" t="n">
        <f aca="false">D13-D14</f>
        <v>-8732787.5</v>
      </c>
      <c r="E16" s="47" t="n">
        <f aca="false">E13-E14</f>
        <v>-8682095</v>
      </c>
      <c r="F16" s="47" t="n">
        <f aca="false">F13-F14</f>
        <v>-8733023.75</v>
      </c>
    </row>
    <row r="17" customFormat="false" ht="15" hidden="false" customHeight="false" outlineLevel="0" collapsed="false">
      <c r="B17" s="46" t="s">
        <v>540</v>
      </c>
      <c r="C17" s="47" t="n">
        <f aca="false">C15-$C15</f>
        <v>0</v>
      </c>
      <c r="D17" s="47" t="n">
        <f aca="false">D15-$C15</f>
        <v>-151875</v>
      </c>
      <c r="E17" s="47" t="n">
        <f aca="false">E15-$C15</f>
        <v>-94500</v>
      </c>
      <c r="F17" s="47" t="n">
        <f aca="false">F15-$C15</f>
        <v>-175500</v>
      </c>
    </row>
    <row r="18" customFormat="false" ht="15" hidden="false" customHeight="false" outlineLevel="0" collapsed="false">
      <c r="B18" s="46" t="s">
        <v>541</v>
      </c>
      <c r="C18" s="52" t="n">
        <f aca="false">IF(C11&gt;0,C14/C11,"нет БУ")</f>
        <v>29.1666666666667</v>
      </c>
      <c r="D18" s="52" t="n">
        <f aca="false">IF(D11&gt;0,D14/D11,"нет БУ")</f>
        <v>29.1666666666667</v>
      </c>
      <c r="E18" s="52" t="n">
        <f aca="false">IF(E11&gt;0,E14/E11,"нет БУ")</f>
        <v>54.6875</v>
      </c>
      <c r="F18" s="52" t="n">
        <f aca="false">IF(F11&gt;0,F14/F11,"нет БУ")</f>
        <v>54.6875</v>
      </c>
    </row>
    <row r="19" customFormat="false" ht="15" hidden="false" customHeight="false" outlineLevel="0" collapsed="false">
      <c r="B19" s="46" t="s">
        <v>542</v>
      </c>
      <c r="C19" s="47" t="n">
        <f aca="false">IF(AND(ISNUMBER(C18),Воронка!$C$13*C6&gt;0),C18/(Воронка!$C$13*C6),"нет БУ")</f>
        <v>4320.98765432099</v>
      </c>
      <c r="D19" s="47" t="n">
        <f aca="false">IF(AND(ISNUMBER(D18),Воронка!$C$13*D6&gt;0),D18/(Воронка!$C$13*D6),"нет БУ")</f>
        <v>17283.950617284</v>
      </c>
      <c r="E19" s="47" t="n">
        <f aca="false">IF(AND(ISNUMBER(E18),Воронка!$C$13*E6&gt;0),E18/(Воронка!$C$13*E6),"нет БУ")</f>
        <v>8101.85185185185</v>
      </c>
      <c r="F19" s="47" t="n">
        <f aca="false">IF(AND(ISNUMBER(F18),Воронка!$C$13*F6&gt;0),F18/(Воронка!$C$13*F6),"нет БУ")</f>
        <v>32407.4074074074</v>
      </c>
    </row>
    <row r="20" customFormat="false" ht="15" hidden="false" customHeight="false" outlineLevel="0" collapsed="false">
      <c r="B20" s="46" t="s">
        <v>473</v>
      </c>
      <c r="C20" s="52" t="str">
        <f aca="false">IF(Сценарии_BEP!$C$29&lt;=0,"нет данных о разработке",IF(C15&gt;0,Сценарии_BEP!$C$29/C15,"не окупается"))</f>
        <v>не окупается</v>
      </c>
      <c r="D20" s="52" t="str">
        <f aca="false">IF(Сценарии_BEP!$C$29&lt;=0,"нет данных о разработке",IF(D15&gt;0,Сценарии_BEP!$C$29/D15,"не окупается"))</f>
        <v>не окупается</v>
      </c>
      <c r="E20" s="52" t="str">
        <f aca="false">IF(Сценарии_BEP!$C$29&lt;=0,"нет данных о разработке",IF(E15&gt;0,Сценарии_BEP!$C$29/E15,"не окупается"))</f>
        <v>не окупается</v>
      </c>
      <c r="F20" s="52" t="str">
        <f aca="false">IF(Сценарии_BEP!$C$29&lt;=0,"нет данных о разработке",IF(F15&gt;0,Сценарии_BEP!$C$29/F15,"не окупается"))</f>
        <v>не окупается</v>
      </c>
    </row>
    <row r="22" customFormat="false" ht="15" hidden="false" customHeight="false" outlineLevel="0" collapsed="false">
      <c r="B22" s="44" t="s">
        <v>543</v>
      </c>
      <c r="C22" s="45"/>
      <c r="D22" s="45"/>
      <c r="E22" s="45"/>
      <c r="F22" s="45"/>
    </row>
    <row r="23" customFormat="false" ht="15" hidden="false" customHeight="false" outlineLevel="0" collapsed="false">
      <c r="B23" s="10" t="s">
        <v>325</v>
      </c>
      <c r="C23" s="43" t="s">
        <v>527</v>
      </c>
      <c r="D23" s="43" t="s">
        <v>528</v>
      </c>
      <c r="E23" s="43" t="s">
        <v>529</v>
      </c>
      <c r="F23" s="43" t="s">
        <v>530</v>
      </c>
    </row>
    <row r="24" customFormat="false" ht="15" hidden="false" customHeight="false" outlineLevel="0" collapsed="false">
      <c r="B24" s="46" t="s">
        <v>531</v>
      </c>
      <c r="C24" s="50" t="n">
        <v>1</v>
      </c>
      <c r="D24" s="50" t="n">
        <f aca="false">N('Входные данные'!$F$47)</f>
        <v>0.25</v>
      </c>
      <c r="E24" s="50" t="n">
        <v>1</v>
      </c>
      <c r="F24" s="50" t="n">
        <f aca="false">N('Входные данные'!$F$47)</f>
        <v>0.25</v>
      </c>
    </row>
    <row r="25" customFormat="false" ht="15" hidden="false" customHeight="false" outlineLevel="0" collapsed="false">
      <c r="B25" s="46" t="s">
        <v>532</v>
      </c>
      <c r="C25" s="53" t="n">
        <f aca="false">Воронка!$D$12*C24</f>
        <v>2.7</v>
      </c>
      <c r="D25" s="53" t="n">
        <f aca="false">Воронка!$D$12*D24</f>
        <v>0.675</v>
      </c>
      <c r="E25" s="53" t="n">
        <f aca="false">Воронка!$D$12*E24</f>
        <v>2.7</v>
      </c>
      <c r="F25" s="53" t="n">
        <f aca="false">Воронка!$D$12*F24</f>
        <v>0.675</v>
      </c>
    </row>
    <row r="26" customFormat="false" ht="15" hidden="false" customHeight="false" outlineLevel="0" collapsed="false">
      <c r="B26" s="46" t="s">
        <v>533</v>
      </c>
      <c r="C26" s="50" t="n">
        <v>0</v>
      </c>
      <c r="D26" s="50" t="n">
        <v>0</v>
      </c>
      <c r="E26" s="50" t="n">
        <f aca="false">N('Входные данные'!$F$41)</f>
        <v>0.7</v>
      </c>
      <c r="F26" s="50" t="n">
        <f aca="false">N('Входные данные'!$F$41)</f>
        <v>0.7</v>
      </c>
    </row>
    <row r="27" customFormat="false" ht="15" hidden="false" customHeight="false" outlineLevel="0" collapsed="false">
      <c r="B27" s="46" t="s">
        <v>504</v>
      </c>
      <c r="C27" s="53" t="n">
        <f aca="false">MIN(C25*(1-C26),Воронка!$D$19)</f>
        <v>2.7</v>
      </c>
      <c r="D27" s="53" t="n">
        <f aca="false">MIN(D25*(1-D26),Воронка!$D$19)</f>
        <v>0.675</v>
      </c>
      <c r="E27" s="53" t="n">
        <f aca="false">MIN(E25*(1-E26),Воронка!$D$19)</f>
        <v>0.81</v>
      </c>
      <c r="F27" s="53" t="n">
        <f aca="false">MIN(F25*(1-F26),Воронка!$D$19)</f>
        <v>0.2025</v>
      </c>
    </row>
    <row r="28" customFormat="false" ht="15" hidden="false" customHeight="false" outlineLevel="0" collapsed="false">
      <c r="B28" s="46" t="s">
        <v>506</v>
      </c>
      <c r="C28" s="53" t="n">
        <f aca="false">C25*C26</f>
        <v>0</v>
      </c>
      <c r="D28" s="53" t="n">
        <f aca="false">D25*D26</f>
        <v>0</v>
      </c>
      <c r="E28" s="53" t="n">
        <f aca="false">E25*E26</f>
        <v>1.89</v>
      </c>
      <c r="F28" s="53" t="n">
        <f aca="false">F25*F26</f>
        <v>0.4725</v>
      </c>
    </row>
    <row r="29" customFormat="false" ht="15" hidden="false" customHeight="false" outlineLevel="0" collapsed="false">
      <c r="B29" s="46" t="s">
        <v>534</v>
      </c>
      <c r="C29" s="47" t="n">
        <f aca="false">(1-C26)*'Юнит-экономика'!$D$23+C26*'Юнит-экономика'!$D$27</f>
        <v>400000</v>
      </c>
      <c r="D29" s="47" t="n">
        <f aca="false">(1-D26)*'Юнит-экономика'!$D$23+D26*'Юнит-экономика'!$D$27</f>
        <v>400000</v>
      </c>
      <c r="E29" s="47" t="n">
        <f aca="false">(1-E26)*'Юнит-экономика'!$D$23+E26*'Юнит-экономика'!$D$27</f>
        <v>190000</v>
      </c>
      <c r="F29" s="47" t="n">
        <f aca="false">(1-F26)*'Юнит-экономика'!$D$23+F26*'Юнит-экономика'!$D$27</f>
        <v>190000</v>
      </c>
    </row>
    <row r="30" customFormat="false" ht="15" hidden="false" customHeight="false" outlineLevel="0" collapsed="false">
      <c r="B30" s="46" t="s">
        <v>535</v>
      </c>
      <c r="C30" s="47" t="n">
        <f aca="false">C31+C27*'Юнит-экономика'!$D$28*(1-N('Входные данные'!$F$44))</f>
        <v>1080000</v>
      </c>
      <c r="D30" s="47" t="n">
        <f aca="false">D31+D27*'Юнит-экономика'!$D$28*(1-N('Входные данные'!$F$44))</f>
        <v>270000</v>
      </c>
      <c r="E30" s="47" t="n">
        <f aca="false">E31+E27*'Юнит-экономика'!$D$28*(1-N('Входные данные'!$F$44))</f>
        <v>513000</v>
      </c>
      <c r="F30" s="47" t="n">
        <f aca="false">F31+F27*'Юнит-экономика'!$D$28*(1-N('Входные данные'!$F$44))</f>
        <v>128250</v>
      </c>
    </row>
    <row r="31" customFormat="false" ht="15" hidden="false" customHeight="false" outlineLevel="0" collapsed="false">
      <c r="B31" s="46" t="s">
        <v>536</v>
      </c>
      <c r="C31" s="47" t="n">
        <f aca="false">C27*'Юнит-экономика'!$D$29+C28*'Юнит-экономика'!$D$27</f>
        <v>275400</v>
      </c>
      <c r="D31" s="47" t="n">
        <f aca="false">D27*'Юнит-экономика'!$D$29+D28*'Юнит-экономика'!$D$27</f>
        <v>68850</v>
      </c>
      <c r="E31" s="47" t="n">
        <f aca="false">E27*'Юнит-экономика'!$D$29+E28*'Юнит-экономика'!$D$27</f>
        <v>271620</v>
      </c>
      <c r="F31" s="47" t="n">
        <f aca="false">F27*'Юнит-экономика'!$D$29+F28*'Юнит-экономика'!$D$27</f>
        <v>67905</v>
      </c>
    </row>
    <row r="32" customFormat="false" ht="15" hidden="false" customHeight="false" outlineLevel="0" collapsed="false">
      <c r="B32" s="46" t="s">
        <v>537</v>
      </c>
      <c r="C32" s="47" t="n">
        <f aca="false">Сценарии_BEP!$D$21</f>
        <v>8750000</v>
      </c>
      <c r="D32" s="47" t="n">
        <f aca="false">Сценарии_BEP!$D$21</f>
        <v>8750000</v>
      </c>
      <c r="E32" s="47" t="n">
        <f aca="false">Сценарии_BEP!$D$21</f>
        <v>8750000</v>
      </c>
      <c r="F32" s="47" t="n">
        <f aca="false">Сценарии_BEP!$D$21</f>
        <v>8750000</v>
      </c>
    </row>
    <row r="33" customFormat="false" ht="15" hidden="false" customHeight="false" outlineLevel="0" collapsed="false">
      <c r="B33" s="3" t="s">
        <v>538</v>
      </c>
      <c r="C33" s="49" t="n">
        <f aca="false">C30-C32</f>
        <v>-7670000</v>
      </c>
      <c r="D33" s="49" t="n">
        <f aca="false">D30-D32</f>
        <v>-8480000</v>
      </c>
      <c r="E33" s="49" t="n">
        <f aca="false">E30-E32</f>
        <v>-8237000</v>
      </c>
      <c r="F33" s="49" t="n">
        <f aca="false">F30-F32</f>
        <v>-8621750</v>
      </c>
    </row>
    <row r="34" customFormat="false" ht="15" hidden="false" customHeight="false" outlineLevel="0" collapsed="false">
      <c r="B34" s="46" t="s">
        <v>539</v>
      </c>
      <c r="C34" s="47" t="n">
        <f aca="false">C31-C32</f>
        <v>-8474600</v>
      </c>
      <c r="D34" s="47" t="n">
        <f aca="false">D31-D32</f>
        <v>-8681150</v>
      </c>
      <c r="E34" s="47" t="n">
        <f aca="false">E31-E32</f>
        <v>-8478380</v>
      </c>
      <c r="F34" s="47" t="n">
        <f aca="false">F31-F32</f>
        <v>-8682095</v>
      </c>
    </row>
    <row r="35" customFormat="false" ht="15" hidden="false" customHeight="false" outlineLevel="0" collapsed="false">
      <c r="B35" s="46" t="s">
        <v>540</v>
      </c>
      <c r="C35" s="47" t="n">
        <f aca="false">C33-$C33</f>
        <v>0</v>
      </c>
      <c r="D35" s="47" t="n">
        <f aca="false">D33-$C33</f>
        <v>-810000</v>
      </c>
      <c r="E35" s="47" t="n">
        <f aca="false">E33-$C33</f>
        <v>-567000</v>
      </c>
      <c r="F35" s="47" t="n">
        <f aca="false">F33-$C33</f>
        <v>-951750</v>
      </c>
    </row>
    <row r="36" customFormat="false" ht="15" hidden="false" customHeight="false" outlineLevel="0" collapsed="false">
      <c r="B36" s="46" t="s">
        <v>541</v>
      </c>
      <c r="C36" s="52" t="n">
        <f aca="false">IF(C29&gt;0,C32/C29,"нет БУ")</f>
        <v>21.875</v>
      </c>
      <c r="D36" s="52" t="n">
        <f aca="false">IF(D29&gt;0,D32/D29,"нет БУ")</f>
        <v>21.875</v>
      </c>
      <c r="E36" s="52" t="n">
        <f aca="false">IF(E29&gt;0,E32/E29,"нет БУ")</f>
        <v>46.0526315789474</v>
      </c>
      <c r="F36" s="52" t="n">
        <f aca="false">IF(F29&gt;0,F32/F29,"нет БУ")</f>
        <v>46.0526315789474</v>
      </c>
    </row>
    <row r="37" customFormat="false" ht="15" hidden="false" customHeight="false" outlineLevel="0" collapsed="false">
      <c r="B37" s="46" t="s">
        <v>542</v>
      </c>
      <c r="C37" s="47" t="n">
        <f aca="false">IF(AND(ISNUMBER(C36),Воронка!$D$13*C24&gt;0),C36/(Воронка!$D$13*C24),"нет БУ")</f>
        <v>2430.55555555555</v>
      </c>
      <c r="D37" s="47" t="n">
        <f aca="false">IF(AND(ISNUMBER(D36),Воронка!$D$13*D24&gt;0),D36/(Воронка!$D$13*D24),"нет БУ")</f>
        <v>9722.22222222222</v>
      </c>
      <c r="E37" s="47" t="n">
        <f aca="false">IF(AND(ISNUMBER(E36),Воронка!$D$13*E24&gt;0),E36/(Воронка!$D$13*E24),"нет БУ")</f>
        <v>5116.95906432748</v>
      </c>
      <c r="F37" s="47" t="n">
        <f aca="false">IF(AND(ISNUMBER(F36),Воронка!$D$13*F24&gt;0),F36/(Воронка!$D$13*F24),"нет БУ")</f>
        <v>20467.8362573099</v>
      </c>
    </row>
    <row r="38" customFormat="false" ht="15" hidden="false" customHeight="false" outlineLevel="0" collapsed="false">
      <c r="B38" s="46" t="s">
        <v>473</v>
      </c>
      <c r="C38" s="52" t="str">
        <f aca="false">IF(Сценарии_BEP!$D$29&lt;=0,"нет данных о разработке",IF(C33&gt;0,Сценарии_BEP!$D$29/C33,"не окупается"))</f>
        <v>не окупается</v>
      </c>
      <c r="D38" s="52" t="str">
        <f aca="false">IF(Сценарии_BEP!$D$29&lt;=0,"нет данных о разработке",IF(D33&gt;0,Сценарии_BEP!$D$29/D33,"не окупается"))</f>
        <v>не окупается</v>
      </c>
      <c r="E38" s="52" t="str">
        <f aca="false">IF(Сценарии_BEP!$D$29&lt;=0,"нет данных о разработке",IF(E33&gt;0,Сценарии_BEP!$D$29/E33,"не окупается"))</f>
        <v>не окупается</v>
      </c>
      <c r="F38" s="52" t="str">
        <f aca="false">IF(Сценарии_BEP!$D$29&lt;=0,"нет данных о разработке",IF(F33&gt;0,Сценарии_BEP!$D$29/F33,"не окупается"))</f>
        <v>не окупается</v>
      </c>
    </row>
    <row r="40" customFormat="false" ht="15" hidden="false" customHeight="false" outlineLevel="0" collapsed="false">
      <c r="B40" s="44" t="s">
        <v>544</v>
      </c>
      <c r="C40" s="45"/>
      <c r="D40" s="45"/>
      <c r="E40" s="45"/>
      <c r="F40" s="45"/>
    </row>
    <row r="41" customFormat="false" ht="15" hidden="false" customHeight="false" outlineLevel="0" collapsed="false">
      <c r="B41" s="10" t="s">
        <v>325</v>
      </c>
      <c r="C41" s="43" t="s">
        <v>527</v>
      </c>
      <c r="D41" s="43" t="s">
        <v>528</v>
      </c>
      <c r="E41" s="43" t="s">
        <v>529</v>
      </c>
      <c r="F41" s="43" t="s">
        <v>530</v>
      </c>
    </row>
    <row r="42" customFormat="false" ht="15" hidden="false" customHeight="false" outlineLevel="0" collapsed="false">
      <c r="B42" s="46" t="s">
        <v>531</v>
      </c>
      <c r="C42" s="50" t="n">
        <v>1</v>
      </c>
      <c r="D42" s="50" t="n">
        <f aca="false">N('Входные данные'!$G$47)</f>
        <v>0.25</v>
      </c>
      <c r="E42" s="50" t="n">
        <v>1</v>
      </c>
      <c r="F42" s="50" t="n">
        <f aca="false">N('Входные данные'!$G$47)</f>
        <v>0.25</v>
      </c>
    </row>
    <row r="43" customFormat="false" ht="15" hidden="false" customHeight="false" outlineLevel="0" collapsed="false">
      <c r="B43" s="46" t="s">
        <v>532</v>
      </c>
      <c r="C43" s="53" t="n">
        <f aca="false">Воронка!$E$12*C42</f>
        <v>10.125</v>
      </c>
      <c r="D43" s="53" t="n">
        <f aca="false">Воронка!$E$12*D42</f>
        <v>2.53125</v>
      </c>
      <c r="E43" s="53" t="n">
        <f aca="false">Воронка!$E$12*E42</f>
        <v>10.125</v>
      </c>
      <c r="F43" s="53" t="n">
        <f aca="false">Воронка!$E$12*F42</f>
        <v>2.53125</v>
      </c>
    </row>
    <row r="44" customFormat="false" ht="15" hidden="false" customHeight="false" outlineLevel="0" collapsed="false">
      <c r="B44" s="46" t="s">
        <v>533</v>
      </c>
      <c r="C44" s="50" t="n">
        <v>0</v>
      </c>
      <c r="D44" s="50" t="n">
        <v>0</v>
      </c>
      <c r="E44" s="50" t="n">
        <f aca="false">N('Входные данные'!$G$41)</f>
        <v>0.7</v>
      </c>
      <c r="F44" s="50" t="n">
        <f aca="false">N('Входные данные'!$G$41)</f>
        <v>0.7</v>
      </c>
    </row>
    <row r="45" customFormat="false" ht="15" hidden="false" customHeight="false" outlineLevel="0" collapsed="false">
      <c r="B45" s="46" t="s">
        <v>504</v>
      </c>
      <c r="C45" s="53" t="n">
        <f aca="false">MIN(C43*(1-C44),Воронка!$E$19)</f>
        <v>10</v>
      </c>
      <c r="D45" s="53" t="n">
        <f aca="false">MIN(D43*(1-D44),Воронка!$E$19)</f>
        <v>2.53125</v>
      </c>
      <c r="E45" s="53" t="n">
        <f aca="false">MIN(E43*(1-E44),Воронка!$E$19)</f>
        <v>3.0375</v>
      </c>
      <c r="F45" s="53" t="n">
        <f aca="false">MIN(F43*(1-F44),Воронка!$E$19)</f>
        <v>0.759375</v>
      </c>
    </row>
    <row r="46" customFormat="false" ht="15" hidden="false" customHeight="false" outlineLevel="0" collapsed="false">
      <c r="B46" s="46" t="s">
        <v>506</v>
      </c>
      <c r="C46" s="53" t="n">
        <f aca="false">C43*C44</f>
        <v>0</v>
      </c>
      <c r="D46" s="53" t="n">
        <f aca="false">D43*D44</f>
        <v>0</v>
      </c>
      <c r="E46" s="53" t="n">
        <f aca="false">E43*E44</f>
        <v>7.0875</v>
      </c>
      <c r="F46" s="53" t="n">
        <f aca="false">F43*F44</f>
        <v>1.771875</v>
      </c>
    </row>
    <row r="47" customFormat="false" ht="15" hidden="false" customHeight="false" outlineLevel="0" collapsed="false">
      <c r="B47" s="46" t="s">
        <v>534</v>
      </c>
      <c r="C47" s="47" t="n">
        <f aca="false">(1-C44)*'Юнит-экономика'!$E$23+C44*'Юнит-экономика'!$E$27</f>
        <v>700000</v>
      </c>
      <c r="D47" s="47" t="n">
        <f aca="false">(1-D44)*'Юнит-экономика'!$E$23+D44*'Юнит-экономика'!$E$27</f>
        <v>700000</v>
      </c>
      <c r="E47" s="47" t="n">
        <f aca="false">(1-E44)*'Юнит-экономика'!$E$23+E44*'Юнит-экономика'!$E$27</f>
        <v>280000</v>
      </c>
      <c r="F47" s="47" t="n">
        <f aca="false">(1-F44)*'Юнит-экономика'!$E$23+F44*'Юнит-экономика'!$E$27</f>
        <v>280000</v>
      </c>
    </row>
    <row r="48" customFormat="false" ht="15" hidden="false" customHeight="false" outlineLevel="0" collapsed="false">
      <c r="B48" s="46" t="s">
        <v>535</v>
      </c>
      <c r="C48" s="47" t="n">
        <f aca="false">C49+C45*'Юнит-экономика'!$E$28*(1-N('Входные данные'!$G$44))</f>
        <v>7000000</v>
      </c>
      <c r="D48" s="47" t="n">
        <f aca="false">D49+D45*'Юнит-экономика'!$E$28*(1-N('Входные данные'!$G$44))</f>
        <v>1771875</v>
      </c>
      <c r="E48" s="47" t="n">
        <f aca="false">E49+E45*'Юнит-экономика'!$E$28*(1-N('Входные данные'!$G$44))</f>
        <v>2835000</v>
      </c>
      <c r="F48" s="47" t="n">
        <f aca="false">F49+F45*'Юнит-экономика'!$E$28*(1-N('Входные данные'!$G$44))</f>
        <v>708750</v>
      </c>
    </row>
    <row r="49" customFormat="false" ht="15" hidden="false" customHeight="false" outlineLevel="0" collapsed="false">
      <c r="B49" s="46" t="s">
        <v>536</v>
      </c>
      <c r="C49" s="47" t="n">
        <f aca="false">C45*'Юнит-экономика'!$E$29+C46*'Юнит-экономика'!$E$27</f>
        <v>1020000</v>
      </c>
      <c r="D49" s="47" t="n">
        <f aca="false">D45*'Юнит-экономика'!$E$29+D46*'Юнит-экономика'!$E$27</f>
        <v>258187.5</v>
      </c>
      <c r="E49" s="47" t="n">
        <f aca="false">E45*'Юнит-экономика'!$E$29+E46*'Юнит-экономика'!$E$27</f>
        <v>1018575</v>
      </c>
      <c r="F49" s="47" t="n">
        <f aca="false">F45*'Юнит-экономика'!$E$29+F46*'Юнит-экономика'!$E$27</f>
        <v>254643.75</v>
      </c>
    </row>
    <row r="50" customFormat="false" ht="15" hidden="false" customHeight="false" outlineLevel="0" collapsed="false">
      <c r="B50" s="46" t="s">
        <v>537</v>
      </c>
      <c r="C50" s="47" t="n">
        <f aca="false">Сценарии_BEP!$E$21</f>
        <v>8750000</v>
      </c>
      <c r="D50" s="47" t="n">
        <f aca="false">Сценарии_BEP!$E$21</f>
        <v>8750000</v>
      </c>
      <c r="E50" s="47" t="n">
        <f aca="false">Сценарии_BEP!$E$21</f>
        <v>8750000</v>
      </c>
      <c r="F50" s="47" t="n">
        <f aca="false">Сценарии_BEP!$E$21</f>
        <v>8750000</v>
      </c>
    </row>
    <row r="51" customFormat="false" ht="15" hidden="false" customHeight="false" outlineLevel="0" collapsed="false">
      <c r="B51" s="3" t="s">
        <v>538</v>
      </c>
      <c r="C51" s="49" t="n">
        <f aca="false">C48-C50</f>
        <v>-1750000</v>
      </c>
      <c r="D51" s="49" t="n">
        <f aca="false">D48-D50</f>
        <v>-6978125</v>
      </c>
      <c r="E51" s="49" t="n">
        <f aca="false">E48-E50</f>
        <v>-5915000</v>
      </c>
      <c r="F51" s="49" t="n">
        <f aca="false">F48-F50</f>
        <v>-8041250</v>
      </c>
    </row>
    <row r="52" customFormat="false" ht="15" hidden="false" customHeight="false" outlineLevel="0" collapsed="false">
      <c r="B52" s="46" t="s">
        <v>539</v>
      </c>
      <c r="C52" s="47" t="n">
        <f aca="false">C49-C50</f>
        <v>-7730000</v>
      </c>
      <c r="D52" s="47" t="n">
        <f aca="false">D49-D50</f>
        <v>-8491812.5</v>
      </c>
      <c r="E52" s="47" t="n">
        <f aca="false">E49-E50</f>
        <v>-7731425</v>
      </c>
      <c r="F52" s="47" t="n">
        <f aca="false">F49-F50</f>
        <v>-8495356.25</v>
      </c>
    </row>
    <row r="53" customFormat="false" ht="15" hidden="false" customHeight="false" outlineLevel="0" collapsed="false">
      <c r="B53" s="46" t="s">
        <v>540</v>
      </c>
      <c r="C53" s="47" t="n">
        <f aca="false">C51-$C51</f>
        <v>0</v>
      </c>
      <c r="D53" s="47" t="n">
        <f aca="false">D51-$C51</f>
        <v>-5228125</v>
      </c>
      <c r="E53" s="47" t="n">
        <f aca="false">E51-$C51</f>
        <v>-4165000</v>
      </c>
      <c r="F53" s="47" t="n">
        <f aca="false">F51-$C51</f>
        <v>-6291250</v>
      </c>
    </row>
    <row r="54" customFormat="false" ht="15" hidden="false" customHeight="false" outlineLevel="0" collapsed="false">
      <c r="B54" s="46" t="s">
        <v>541</v>
      </c>
      <c r="C54" s="52" t="n">
        <f aca="false">IF(C47&gt;0,C50/C47,"нет БУ")</f>
        <v>12.5</v>
      </c>
      <c r="D54" s="52" t="n">
        <f aca="false">IF(D47&gt;0,D50/D47,"нет БУ")</f>
        <v>12.5</v>
      </c>
      <c r="E54" s="52" t="n">
        <f aca="false">IF(E47&gt;0,E50/E47,"нет БУ")</f>
        <v>31.25</v>
      </c>
      <c r="F54" s="52" t="n">
        <f aca="false">IF(F47&gt;0,F50/F47,"нет БУ")</f>
        <v>31.25</v>
      </c>
    </row>
    <row r="55" customFormat="false" ht="15" hidden="false" customHeight="false" outlineLevel="0" collapsed="false">
      <c r="B55" s="46" t="s">
        <v>542</v>
      </c>
      <c r="C55" s="47" t="n">
        <f aca="false">IF(AND(ISNUMBER(C54),Воронка!$E$13*C42&gt;0),C54/(Воронка!$E$13*C42),"нет БУ")</f>
        <v>1111.11111111111</v>
      </c>
      <c r="D55" s="47" t="n">
        <f aca="false">IF(AND(ISNUMBER(D54),Воронка!$E$13*D42&gt;0),D54/(Воронка!$E$13*D42),"нет БУ")</f>
        <v>4444.44444444444</v>
      </c>
      <c r="E55" s="47" t="n">
        <f aca="false">IF(AND(ISNUMBER(E54),Воронка!$E$13*E42&gt;0),E54/(Воронка!$E$13*E42),"нет БУ")</f>
        <v>2777.77777777778</v>
      </c>
      <c r="F55" s="47" t="n">
        <f aca="false">IF(AND(ISNUMBER(F54),Воронка!$E$13*F42&gt;0),F54/(Воронка!$E$13*F42),"нет БУ")</f>
        <v>11111.1111111111</v>
      </c>
    </row>
    <row r="56" customFormat="false" ht="15" hidden="false" customHeight="false" outlineLevel="0" collapsed="false">
      <c r="B56" s="46" t="s">
        <v>473</v>
      </c>
      <c r="C56" s="52" t="str">
        <f aca="false">IF(Сценарии_BEP!$E$29&lt;=0,"нет данных о разработке",IF(C51&gt;0,Сценарии_BEP!$E$29/C51,"не окупается"))</f>
        <v>не окупается</v>
      </c>
      <c r="D56" s="52" t="str">
        <f aca="false">IF(Сценарии_BEP!$E$29&lt;=0,"нет данных о разработке",IF(D51&gt;0,Сценарии_BEP!$E$29/D51,"не окупается"))</f>
        <v>не окупается</v>
      </c>
      <c r="E56" s="52" t="str">
        <f aca="false">IF(Сценарии_BEP!$E$29&lt;=0,"нет данных о разработке",IF(E51&gt;0,Сценарии_BEP!$E$29/E51,"не окупается"))</f>
        <v>не окупается</v>
      </c>
      <c r="F56" s="52" t="str">
        <f aca="false">IF(Сценарии_BEP!$E$29&lt;=0,"нет данных о разработке",IF(F51&gt;0,Сценарии_BEP!$E$29/F51,"не окупается"))</f>
        <v>не окупается</v>
      </c>
    </row>
    <row r="58" customFormat="false" ht="15" hidden="false" customHeight="false" outlineLevel="0" collapsed="false">
      <c r="B58" s="44" t="s">
        <v>545</v>
      </c>
      <c r="C58" s="45"/>
      <c r="D58" s="45"/>
      <c r="E58" s="45"/>
      <c r="F58" s="45"/>
    </row>
    <row r="59" customFormat="false" ht="15" hidden="false" customHeight="false" outlineLevel="0" collapsed="false">
      <c r="B59" s="42" t="s">
        <v>325</v>
      </c>
      <c r="C59" s="43" t="s">
        <v>13</v>
      </c>
      <c r="D59" s="43" t="s">
        <v>14</v>
      </c>
      <c r="E59" s="43" t="s">
        <v>15</v>
      </c>
      <c r="F59" s="43" t="s">
        <v>546</v>
      </c>
    </row>
    <row r="60" customFormat="false" ht="68.65" hidden="false" customHeight="false" outlineLevel="0" collapsed="false">
      <c r="B60" s="46" t="s">
        <v>547</v>
      </c>
      <c r="C60" s="47" t="n">
        <f aca="false">$C$12-$D$12</f>
        <v>151875</v>
      </c>
      <c r="D60" s="47" t="n">
        <f aca="false">$C$30-$D$30</f>
        <v>810000</v>
      </c>
      <c r="E60" s="47" t="n">
        <f aca="false">$C$48-$D$48</f>
        <v>5228125</v>
      </c>
      <c r="F60" s="48" t="s">
        <v>548</v>
      </c>
    </row>
    <row r="61" customFormat="false" ht="91" hidden="false" customHeight="false" outlineLevel="0" collapsed="false">
      <c r="B61" s="46" t="s">
        <v>549</v>
      </c>
      <c r="C61" s="47" t="n">
        <f aca="false">$C$12-$E$12</f>
        <v>94500</v>
      </c>
      <c r="D61" s="47" t="n">
        <f aca="false">$C$30-$E$30</f>
        <v>567000</v>
      </c>
      <c r="E61" s="47" t="n">
        <f aca="false">$C$48-$E$48</f>
        <v>4165000</v>
      </c>
      <c r="F61" s="48" t="s">
        <v>550</v>
      </c>
    </row>
    <row r="63" customFormat="false" ht="15" hidden="false" customHeight="false" outlineLevel="0" collapsed="false">
      <c r="B63" s="2" t="s">
        <v>551</v>
      </c>
    </row>
    <row r="64" customFormat="false" ht="15" hidden="false" customHeight="false" outlineLevel="0" collapsed="false">
      <c r="B64" s="2" t="s">
        <v>552</v>
      </c>
    </row>
    <row r="65" customFormat="false" ht="15" hidden="false" customHeight="false" outlineLevel="0" collapsed="false">
      <c r="B65" s="2" t="s">
        <v>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5" min="3" style="0" width="20"/>
    <col collapsed="false" customWidth="true" hidden="false" outlineLevel="0" max="8" min="6" style="0" width="18"/>
  </cols>
  <sheetData>
    <row r="1" customFormat="false" ht="17.35" hidden="false" customHeight="false" outlineLevel="0" collapsed="false">
      <c r="A1" s="1" t="s">
        <v>554</v>
      </c>
    </row>
    <row r="2" customFormat="false" ht="15" hidden="false" customHeight="false" outlineLevel="0" collapsed="false">
      <c r="A2" s="2" t="s">
        <v>555</v>
      </c>
    </row>
    <row r="4" customFormat="false" ht="15" hidden="false" customHeight="false" outlineLevel="0" collapsed="false">
      <c r="B4" s="62" t="s">
        <v>556</v>
      </c>
      <c r="C4" s="45"/>
      <c r="D4" s="45"/>
      <c r="E4" s="45"/>
      <c r="F4" s="45"/>
      <c r="G4" s="45"/>
    </row>
    <row r="5" customFormat="false" ht="15" hidden="false" customHeight="false" outlineLevel="0" collapsed="false">
      <c r="B5" s="2" t="s">
        <v>557</v>
      </c>
    </row>
    <row r="6" customFormat="false" ht="15" hidden="false" customHeight="false" outlineLevel="0" collapsed="false">
      <c r="C6" s="63" t="n">
        <v>0.01</v>
      </c>
      <c r="D6" s="63" t="n">
        <v>0.02</v>
      </c>
      <c r="E6" s="63" t="n">
        <v>0.035</v>
      </c>
      <c r="F6" s="63" t="n">
        <v>0.05</v>
      </c>
      <c r="G6" s="63" t="n">
        <v>0.07</v>
      </c>
    </row>
    <row r="7" customFormat="false" ht="15" hidden="false" customHeight="false" outlineLevel="0" collapsed="false">
      <c r="B7" s="64" t="n">
        <v>0.1</v>
      </c>
      <c r="C7" s="53" t="n">
        <f aca="false">Воронка!$D$6*$B7*C$6*Воронка!$D$11*Воронка!$D$17</f>
        <v>0.27</v>
      </c>
      <c r="D7" s="53" t="n">
        <f aca="false">Воронка!$D$6*$B7*D$6*Воронка!$D$11*Воронка!$D$17</f>
        <v>0.54</v>
      </c>
      <c r="E7" s="53" t="n">
        <f aca="false">Воронка!$D$6*$B7*E$6*Воронка!$D$11*Воронка!$D$17</f>
        <v>0.945</v>
      </c>
      <c r="F7" s="53" t="n">
        <f aca="false">Воронка!$D$6*$B7*F$6*Воронка!$D$11*Воронка!$D$17</f>
        <v>1.35</v>
      </c>
      <c r="G7" s="53" t="n">
        <f aca="false">Воронка!$D$6*$B7*G$6*Воронка!$D$11*Воронка!$D$17</f>
        <v>1.89</v>
      </c>
    </row>
    <row r="8" customFormat="false" ht="15" hidden="false" customHeight="false" outlineLevel="0" collapsed="false">
      <c r="B8" s="64" t="n">
        <v>0.15</v>
      </c>
      <c r="C8" s="53" t="n">
        <f aca="false">Воронка!$D$6*$B8*C$6*Воронка!$D$11*Воронка!$D$17</f>
        <v>0.405</v>
      </c>
      <c r="D8" s="53" t="n">
        <f aca="false">Воронка!$D$6*$B8*D$6*Воронка!$D$11*Воронка!$D$17</f>
        <v>0.81</v>
      </c>
      <c r="E8" s="53" t="n">
        <f aca="false">Воронка!$D$6*$B8*E$6*Воронка!$D$11*Воронка!$D$17</f>
        <v>1.4175</v>
      </c>
      <c r="F8" s="53" t="n">
        <f aca="false">Воронка!$D$6*$B8*F$6*Воронка!$D$11*Воронка!$D$17</f>
        <v>2.025</v>
      </c>
      <c r="G8" s="53" t="n">
        <f aca="false">Воронка!$D$6*$B8*G$6*Воронка!$D$11*Воронка!$D$17</f>
        <v>2.835</v>
      </c>
    </row>
    <row r="9" customFormat="false" ht="15" hidden="false" customHeight="false" outlineLevel="0" collapsed="false">
      <c r="B9" s="64" t="n">
        <v>0.2</v>
      </c>
      <c r="C9" s="53" t="n">
        <f aca="false">Воронка!$D$6*$B9*C$6*Воронка!$D$11*Воронка!$D$17</f>
        <v>0.54</v>
      </c>
      <c r="D9" s="53" t="n">
        <f aca="false">Воронка!$D$6*$B9*D$6*Воронка!$D$11*Воронка!$D$17</f>
        <v>1.08</v>
      </c>
      <c r="E9" s="53" t="n">
        <f aca="false">Воронка!$D$6*$B9*E$6*Воронка!$D$11*Воронка!$D$17</f>
        <v>1.89</v>
      </c>
      <c r="F9" s="53" t="n">
        <f aca="false">Воронка!$D$6*$B9*F$6*Воронка!$D$11*Воронка!$D$17</f>
        <v>2.7</v>
      </c>
      <c r="G9" s="53" t="n">
        <f aca="false">Воронка!$D$6*$B9*G$6*Воронка!$D$11*Воронка!$D$17</f>
        <v>3.78</v>
      </c>
    </row>
    <row r="10" customFormat="false" ht="15" hidden="false" customHeight="false" outlineLevel="0" collapsed="false">
      <c r="B10" s="64" t="n">
        <v>0.25</v>
      </c>
      <c r="C10" s="53" t="n">
        <f aca="false">Воронка!$D$6*$B10*C$6*Воронка!$D$11*Воронка!$D$17</f>
        <v>0.675</v>
      </c>
      <c r="D10" s="53" t="n">
        <f aca="false">Воронка!$D$6*$B10*D$6*Воронка!$D$11*Воронка!$D$17</f>
        <v>1.35</v>
      </c>
      <c r="E10" s="53" t="n">
        <f aca="false">Воронка!$D$6*$B10*E$6*Воронка!$D$11*Воронка!$D$17</f>
        <v>2.3625</v>
      </c>
      <c r="F10" s="53" t="n">
        <f aca="false">Воронка!$D$6*$B10*F$6*Воронка!$D$11*Воронка!$D$17</f>
        <v>3.375</v>
      </c>
      <c r="G10" s="53" t="n">
        <f aca="false">Воронка!$D$6*$B10*G$6*Воронка!$D$11*Воронка!$D$17</f>
        <v>4.725</v>
      </c>
    </row>
    <row r="11" customFormat="false" ht="15" hidden="false" customHeight="false" outlineLevel="0" collapsed="false">
      <c r="B11" s="64" t="n">
        <v>0.3</v>
      </c>
      <c r="C11" s="53" t="n">
        <f aca="false">Воронка!$D$6*$B11*C$6*Воронка!$D$11*Воронка!$D$17</f>
        <v>0.81</v>
      </c>
      <c r="D11" s="53" t="n">
        <f aca="false">Воронка!$D$6*$B11*D$6*Воронка!$D$11*Воронка!$D$17</f>
        <v>1.62</v>
      </c>
      <c r="E11" s="53" t="n">
        <f aca="false">Воронка!$D$6*$B11*E$6*Воронка!$D$11*Воронка!$D$17</f>
        <v>2.835</v>
      </c>
      <c r="F11" s="53" t="n">
        <f aca="false">Воронка!$D$6*$B11*F$6*Воронка!$D$11*Воронка!$D$17</f>
        <v>4.05</v>
      </c>
      <c r="G11" s="53" t="n">
        <f aca="false">Воронка!$D$6*$B11*G$6*Воронка!$D$11*Воронка!$D$17</f>
        <v>5.67</v>
      </c>
    </row>
    <row r="12" customFormat="false" ht="15" hidden="false" customHeight="false" outlineLevel="0" collapsed="false">
      <c r="B12" s="2" t="s">
        <v>558</v>
      </c>
    </row>
    <row r="14" customFormat="false" ht="15" hidden="false" customHeight="false" outlineLevel="0" collapsed="false">
      <c r="B14" s="62" t="s">
        <v>559</v>
      </c>
      <c r="C14" s="45"/>
      <c r="D14" s="45"/>
      <c r="E14" s="45"/>
      <c r="F14" s="45"/>
      <c r="G14" s="45"/>
    </row>
    <row r="15" customFormat="false" ht="15" hidden="false" customHeight="false" outlineLevel="0" collapsed="false">
      <c r="B15" s="2" t="s">
        <v>557</v>
      </c>
    </row>
    <row r="16" customFormat="false" ht="15" hidden="false" customHeight="false" outlineLevel="0" collapsed="false">
      <c r="C16" s="63" t="n">
        <v>0.01</v>
      </c>
      <c r="D16" s="63" t="n">
        <v>0.02</v>
      </c>
      <c r="E16" s="63" t="n">
        <v>0.035</v>
      </c>
      <c r="F16" s="63" t="n">
        <v>0.05</v>
      </c>
      <c r="G16" s="63" t="n">
        <v>0.07</v>
      </c>
    </row>
    <row r="17" customFormat="false" ht="15" hidden="false" customHeight="false" outlineLevel="0" collapsed="false">
      <c r="B17" s="64" t="n">
        <v>0.1</v>
      </c>
      <c r="C17" s="47" t="n">
        <f aca="false">(MIN(Воронка!$D$6*$B17*C$16*Воронка!$D$11*Воронка!$D$17*(1-Воронка!$D$20),Воронка!$D$19)*'Юнит-экономика'!$D$23+Воронка!$D$6*$B17*C$16*Воронка!$D$11*Воронка!$D$17*Воронка!$D$20*'Юнит-экономика'!$D$27)-Сценарии_BEP!$D$21</f>
        <v>-8698700</v>
      </c>
      <c r="D17" s="47" t="n">
        <f aca="false">(MIN(Воронка!$D$6*$B17*D$16*Воронка!$D$11*Воронка!$D$17*(1-Воронка!$D$20),Воронка!$D$19)*'Юнит-экономика'!$D$23+Воронка!$D$6*$B17*D$16*Воронка!$D$11*Воронка!$D$17*Воронка!$D$20*'Юнит-экономика'!$D$27)-Сценарии_BEP!$D$21</f>
        <v>-8647400</v>
      </c>
      <c r="E17" s="47" t="n">
        <f aca="false">(MIN(Воронка!$D$6*$B17*E$16*Воронка!$D$11*Воронка!$D$17*(1-Воронка!$D$20),Воронка!$D$19)*'Юнит-экономика'!$D$23+Воронка!$D$6*$B17*E$16*Воронка!$D$11*Воронка!$D$17*Воронка!$D$20*'Юнит-экономика'!$D$27)-Сценарии_BEP!$D$21</f>
        <v>-8570450</v>
      </c>
      <c r="F17" s="47" t="n">
        <f aca="false">(MIN(Воронка!$D$6*$B17*F$16*Воронка!$D$11*Воронка!$D$17*(1-Воронка!$D$20),Воронка!$D$19)*'Юнит-экономика'!$D$23+Воронка!$D$6*$B17*F$16*Воронка!$D$11*Воронка!$D$17*Воронка!$D$20*'Юнит-экономика'!$D$27)-Сценарии_BEP!$D$21</f>
        <v>-8493500</v>
      </c>
      <c r="G17" s="47" t="n">
        <f aca="false">(MIN(Воронка!$D$6*$B17*G$16*Воронка!$D$11*Воронка!$D$17*(1-Воронка!$D$20),Воронка!$D$19)*'Юнит-экономика'!$D$23+Воронка!$D$6*$B17*G$16*Воронка!$D$11*Воронка!$D$17*Воронка!$D$20*'Юнит-экономика'!$D$27)-Сценарии_BEP!$D$21</f>
        <v>-8390900</v>
      </c>
    </row>
    <row r="18" customFormat="false" ht="15" hidden="false" customHeight="false" outlineLevel="0" collapsed="false">
      <c r="B18" s="64" t="n">
        <v>0.15</v>
      </c>
      <c r="C18" s="47" t="n">
        <f aca="false">(MIN(Воронка!$D$6*$B18*C$16*Воронка!$D$11*Воронка!$D$17*(1-Воронка!$D$20),Воронка!$D$19)*'Юнит-экономика'!$D$23+Воронка!$D$6*$B18*C$16*Воронка!$D$11*Воронка!$D$17*Воронка!$D$20*'Юнит-экономика'!$D$27)-Сценарии_BEP!$D$21</f>
        <v>-8673050</v>
      </c>
      <c r="D18" s="47" t="n">
        <f aca="false">(MIN(Воронка!$D$6*$B18*D$16*Воронка!$D$11*Воронка!$D$17*(1-Воронка!$D$20),Воронка!$D$19)*'Юнит-экономика'!$D$23+Воронка!$D$6*$B18*D$16*Воронка!$D$11*Воронка!$D$17*Воронка!$D$20*'Юнит-экономика'!$D$27)-Сценарии_BEP!$D$21</f>
        <v>-8596100</v>
      </c>
      <c r="E18" s="47" t="n">
        <f aca="false">(MIN(Воронка!$D$6*$B18*E$16*Воронка!$D$11*Воронка!$D$17*(1-Воронка!$D$20),Воронка!$D$19)*'Юнит-экономика'!$D$23+Воронка!$D$6*$B18*E$16*Воронка!$D$11*Воронка!$D$17*Воронка!$D$20*'Юнит-экономика'!$D$27)-Сценарии_BEP!$D$21</f>
        <v>-8480675</v>
      </c>
      <c r="F18" s="47" t="n">
        <f aca="false">(MIN(Воронка!$D$6*$B18*F$16*Воронка!$D$11*Воронка!$D$17*(1-Воронка!$D$20),Воронка!$D$19)*'Юнит-экономика'!$D$23+Воронка!$D$6*$B18*F$16*Воронка!$D$11*Воронка!$D$17*Воронка!$D$20*'Юнит-экономика'!$D$27)-Сценарии_BEP!$D$21</f>
        <v>-8365250</v>
      </c>
      <c r="G18" s="47" t="n">
        <f aca="false">(MIN(Воронка!$D$6*$B18*G$16*Воронка!$D$11*Воронка!$D$17*(1-Воронка!$D$20),Воронка!$D$19)*'Юнит-экономика'!$D$23+Воронка!$D$6*$B18*G$16*Воронка!$D$11*Воронка!$D$17*Воронка!$D$20*'Юнит-экономика'!$D$27)-Сценарии_BEP!$D$21</f>
        <v>-8211350</v>
      </c>
    </row>
    <row r="19" customFormat="false" ht="15" hidden="false" customHeight="false" outlineLevel="0" collapsed="false">
      <c r="B19" s="64" t="n">
        <v>0.2</v>
      </c>
      <c r="C19" s="47" t="n">
        <f aca="false">(MIN(Воронка!$D$6*$B19*C$16*Воронка!$D$11*Воронка!$D$17*(1-Воронка!$D$20),Воронка!$D$19)*'Юнит-экономика'!$D$23+Воронка!$D$6*$B19*C$16*Воронка!$D$11*Воронка!$D$17*Воронка!$D$20*'Юнит-экономика'!$D$27)-Сценарии_BEP!$D$21</f>
        <v>-8647400</v>
      </c>
      <c r="D19" s="47" t="n">
        <f aca="false">(MIN(Воронка!$D$6*$B19*D$16*Воронка!$D$11*Воронка!$D$17*(1-Воронка!$D$20),Воронка!$D$19)*'Юнит-экономика'!$D$23+Воронка!$D$6*$B19*D$16*Воронка!$D$11*Воронка!$D$17*Воронка!$D$20*'Юнит-экономика'!$D$27)-Сценарии_BEP!$D$21</f>
        <v>-8544800</v>
      </c>
      <c r="E19" s="47" t="n">
        <f aca="false">(MIN(Воронка!$D$6*$B19*E$16*Воронка!$D$11*Воронка!$D$17*(1-Воронка!$D$20),Воронка!$D$19)*'Юнит-экономика'!$D$23+Воронка!$D$6*$B19*E$16*Воронка!$D$11*Воронка!$D$17*Воронка!$D$20*'Юнит-экономика'!$D$27)-Сценарии_BEP!$D$21</f>
        <v>-8390900</v>
      </c>
      <c r="F19" s="47" t="n">
        <f aca="false">(MIN(Воронка!$D$6*$B19*F$16*Воронка!$D$11*Воронка!$D$17*(1-Воронка!$D$20),Воронка!$D$19)*'Юнит-экономика'!$D$23+Воронка!$D$6*$B19*F$16*Воронка!$D$11*Воронка!$D$17*Воронка!$D$20*'Юнит-экономика'!$D$27)-Сценарии_BEP!$D$21</f>
        <v>-8237000</v>
      </c>
      <c r="G19" s="47" t="n">
        <f aca="false">(MIN(Воронка!$D$6*$B19*G$16*Воронка!$D$11*Воронка!$D$17*(1-Воронка!$D$20),Воронка!$D$19)*'Юнит-экономика'!$D$23+Воронка!$D$6*$B19*G$16*Воронка!$D$11*Воронка!$D$17*Воронка!$D$20*'Юнит-экономика'!$D$27)-Сценарии_BEP!$D$21</f>
        <v>-8031800</v>
      </c>
    </row>
    <row r="20" customFormat="false" ht="15" hidden="false" customHeight="false" outlineLevel="0" collapsed="false">
      <c r="B20" s="64" t="n">
        <v>0.25</v>
      </c>
      <c r="C20" s="47" t="n">
        <f aca="false">(MIN(Воронка!$D$6*$B20*C$16*Воронка!$D$11*Воронка!$D$17*(1-Воронка!$D$20),Воронка!$D$19)*'Юнит-экономика'!$D$23+Воронка!$D$6*$B20*C$16*Воронка!$D$11*Воронка!$D$17*Воронка!$D$20*'Юнит-экономика'!$D$27)-Сценарии_BEP!$D$21</f>
        <v>-8621750</v>
      </c>
      <c r="D20" s="47" t="n">
        <f aca="false">(MIN(Воронка!$D$6*$B20*D$16*Воронка!$D$11*Воронка!$D$17*(1-Воронка!$D$20),Воронка!$D$19)*'Юнит-экономика'!$D$23+Воронка!$D$6*$B20*D$16*Воронка!$D$11*Воронка!$D$17*Воронка!$D$20*'Юнит-экономика'!$D$27)-Сценарии_BEP!$D$21</f>
        <v>-8493500</v>
      </c>
      <c r="E20" s="47" t="n">
        <f aca="false">(MIN(Воронка!$D$6*$B20*E$16*Воронка!$D$11*Воронка!$D$17*(1-Воронка!$D$20),Воронка!$D$19)*'Юнит-экономика'!$D$23+Воронка!$D$6*$B20*E$16*Воронка!$D$11*Воронка!$D$17*Воронка!$D$20*'Юнит-экономика'!$D$27)-Сценарии_BEP!$D$21</f>
        <v>-8301125</v>
      </c>
      <c r="F20" s="47" t="n">
        <f aca="false">(MIN(Воронка!$D$6*$B20*F$16*Воронка!$D$11*Воронка!$D$17*(1-Воронка!$D$20),Воронка!$D$19)*'Юнит-экономика'!$D$23+Воронка!$D$6*$B20*F$16*Воронка!$D$11*Воронка!$D$17*Воронка!$D$20*'Юнит-экономика'!$D$27)-Сценарии_BEP!$D$21</f>
        <v>-8108750</v>
      </c>
      <c r="G20" s="47" t="n">
        <f aca="false">(MIN(Воронка!$D$6*$B20*G$16*Воронка!$D$11*Воронка!$D$17*(1-Воронка!$D$20),Воронка!$D$19)*'Юнит-экономика'!$D$23+Воронка!$D$6*$B20*G$16*Воронка!$D$11*Воронка!$D$17*Воронка!$D$20*'Юнит-экономика'!$D$27)-Сценарии_BEP!$D$21</f>
        <v>-7852250</v>
      </c>
    </row>
    <row r="21" customFormat="false" ht="15" hidden="false" customHeight="false" outlineLevel="0" collapsed="false">
      <c r="B21" s="64" t="n">
        <v>0.3</v>
      </c>
      <c r="C21" s="47" t="n">
        <f aca="false">(MIN(Воронка!$D$6*$B21*C$16*Воронка!$D$11*Воронка!$D$17*(1-Воронка!$D$20),Воронка!$D$19)*'Юнит-экономика'!$D$23+Воронка!$D$6*$B21*C$16*Воронка!$D$11*Воронка!$D$17*Воронка!$D$20*'Юнит-экономика'!$D$27)-Сценарии_BEP!$D$21</f>
        <v>-8596100</v>
      </c>
      <c r="D21" s="47" t="n">
        <f aca="false">(MIN(Воронка!$D$6*$B21*D$16*Воронка!$D$11*Воронка!$D$17*(1-Воронка!$D$20),Воронка!$D$19)*'Юнит-экономика'!$D$23+Воронка!$D$6*$B21*D$16*Воронка!$D$11*Воронка!$D$17*Воронка!$D$20*'Юнит-экономика'!$D$27)-Сценарии_BEP!$D$21</f>
        <v>-8442200</v>
      </c>
      <c r="E21" s="47" t="n">
        <f aca="false">(MIN(Воронка!$D$6*$B21*E$16*Воронка!$D$11*Воронка!$D$17*(1-Воронка!$D$20),Воронка!$D$19)*'Юнит-экономика'!$D$23+Воронка!$D$6*$B21*E$16*Воронка!$D$11*Воронка!$D$17*Воронка!$D$20*'Юнит-экономика'!$D$27)-Сценарии_BEP!$D$21</f>
        <v>-8211350</v>
      </c>
      <c r="F21" s="47" t="n">
        <f aca="false">(MIN(Воронка!$D$6*$B21*F$16*Воронка!$D$11*Воронка!$D$17*(1-Воронка!$D$20),Воронка!$D$19)*'Юнит-экономика'!$D$23+Воронка!$D$6*$B21*F$16*Воронка!$D$11*Воронка!$D$17*Воронка!$D$20*'Юнит-экономика'!$D$27)-Сценарии_BEP!$D$21</f>
        <v>-7980500</v>
      </c>
      <c r="G21" s="47" t="n">
        <f aca="false">(MIN(Воронка!$D$6*$B21*G$16*Воронка!$D$11*Воронка!$D$17*(1-Воронка!$D$20),Воронка!$D$19)*'Юнит-экономика'!$D$23+Воронка!$D$6*$B21*G$16*Воронка!$D$11*Воронка!$D$17*Воронка!$D$20*'Юнит-экономика'!$D$27)-Сценарии_BEP!$D$21</f>
        <v>-7672700</v>
      </c>
    </row>
    <row r="22" customFormat="false" ht="15" hidden="false" customHeight="false" outlineLevel="0" collapsed="false">
      <c r="B22" s="2" t="s">
        <v>560</v>
      </c>
    </row>
    <row r="24" customFormat="false" ht="15" hidden="false" customHeight="false" outlineLevel="0" collapsed="false">
      <c r="B24" s="62" t="s">
        <v>561</v>
      </c>
      <c r="C24" s="45"/>
      <c r="D24" s="45"/>
      <c r="E24" s="45"/>
      <c r="F24" s="45"/>
      <c r="G24" s="45"/>
    </row>
    <row r="25" customFormat="false" ht="15" hidden="false" customHeight="false" outlineLevel="0" collapsed="false">
      <c r="B25" s="2" t="s">
        <v>562</v>
      </c>
    </row>
    <row r="26" customFormat="false" ht="15" hidden="false" customHeight="false" outlineLevel="0" collapsed="false">
      <c r="C26" s="65" t="n">
        <v>1000000</v>
      </c>
      <c r="D26" s="65" t="n">
        <v>2500000</v>
      </c>
      <c r="E26" s="65" t="n">
        <v>3750000</v>
      </c>
      <c r="F26" s="65" t="n">
        <v>7500000</v>
      </c>
      <c r="G26" s="65" t="n">
        <v>8750000</v>
      </c>
    </row>
    <row r="27" customFormat="false" ht="15" hidden="false" customHeight="false" outlineLevel="0" collapsed="false">
      <c r="B27" s="66" t="n">
        <v>100000</v>
      </c>
      <c r="C27" s="52" t="n">
        <f aca="false">IF($B27&gt;0,C$26/$B27,"нет БУ")</f>
        <v>10</v>
      </c>
      <c r="D27" s="52" t="n">
        <f aca="false">IF($B27&gt;0,D$26/$B27,"нет БУ")</f>
        <v>25</v>
      </c>
      <c r="E27" s="52" t="n">
        <f aca="false">IF($B27&gt;0,E$26/$B27,"нет БУ")</f>
        <v>37.5</v>
      </c>
      <c r="F27" s="52" t="n">
        <f aca="false">IF($B27&gt;0,F$26/$B27,"нет БУ")</f>
        <v>75</v>
      </c>
      <c r="G27" s="52" t="n">
        <f aca="false">IF($B27&gt;0,G$26/$B27,"нет БУ")</f>
        <v>87.5</v>
      </c>
    </row>
    <row r="28" customFormat="false" ht="15" hidden="false" customHeight="false" outlineLevel="0" collapsed="false">
      <c r="B28" s="66" t="n">
        <v>200000</v>
      </c>
      <c r="C28" s="52" t="n">
        <f aca="false">IF($B28&gt;0,C$26/$B28,"нет БУ")</f>
        <v>5</v>
      </c>
      <c r="D28" s="52" t="n">
        <f aca="false">IF($B28&gt;0,D$26/$B28,"нет БУ")</f>
        <v>12.5</v>
      </c>
      <c r="E28" s="52" t="n">
        <f aca="false">IF($B28&gt;0,E$26/$B28,"нет БУ")</f>
        <v>18.75</v>
      </c>
      <c r="F28" s="52" t="n">
        <f aca="false">IF($B28&gt;0,F$26/$B28,"нет БУ")</f>
        <v>37.5</v>
      </c>
      <c r="G28" s="52" t="n">
        <f aca="false">IF($B28&gt;0,G$26/$B28,"нет БУ")</f>
        <v>43.75</v>
      </c>
    </row>
    <row r="29" customFormat="false" ht="15" hidden="false" customHeight="false" outlineLevel="0" collapsed="false">
      <c r="B29" s="66" t="n">
        <v>300000</v>
      </c>
      <c r="C29" s="52" t="n">
        <f aca="false">IF($B29&gt;0,C$26/$B29,"нет БУ")</f>
        <v>3.33333333333333</v>
      </c>
      <c r="D29" s="52" t="n">
        <f aca="false">IF($B29&gt;0,D$26/$B29,"нет БУ")</f>
        <v>8.33333333333333</v>
      </c>
      <c r="E29" s="52" t="n">
        <f aca="false">IF($B29&gt;0,E$26/$B29,"нет БУ")</f>
        <v>12.5</v>
      </c>
      <c r="F29" s="52" t="n">
        <f aca="false">IF($B29&gt;0,F$26/$B29,"нет БУ")</f>
        <v>25</v>
      </c>
      <c r="G29" s="52" t="n">
        <f aca="false">IF($B29&gt;0,G$26/$B29,"нет БУ")</f>
        <v>29.1666666666667</v>
      </c>
    </row>
    <row r="30" customFormat="false" ht="15" hidden="false" customHeight="false" outlineLevel="0" collapsed="false">
      <c r="B30" s="66" t="n">
        <v>400000</v>
      </c>
      <c r="C30" s="52" t="n">
        <f aca="false">IF($B30&gt;0,C$26/$B30,"нет БУ")</f>
        <v>2.5</v>
      </c>
      <c r="D30" s="52" t="n">
        <f aca="false">IF($B30&gt;0,D$26/$B30,"нет БУ")</f>
        <v>6.25</v>
      </c>
      <c r="E30" s="52" t="n">
        <f aca="false">IF($B30&gt;0,E$26/$B30,"нет БУ")</f>
        <v>9.375</v>
      </c>
      <c r="F30" s="52" t="n">
        <f aca="false">IF($B30&gt;0,F$26/$B30,"нет БУ")</f>
        <v>18.75</v>
      </c>
      <c r="G30" s="52" t="n">
        <f aca="false">IF($B30&gt;0,G$26/$B30,"нет БУ")</f>
        <v>21.875</v>
      </c>
    </row>
    <row r="31" customFormat="false" ht="15" hidden="false" customHeight="false" outlineLevel="0" collapsed="false">
      <c r="B31" s="66" t="n">
        <v>600000</v>
      </c>
      <c r="C31" s="52" t="n">
        <f aca="false">IF($B31&gt;0,C$26/$B31,"нет БУ")</f>
        <v>1.66666666666667</v>
      </c>
      <c r="D31" s="52" t="n">
        <f aca="false">IF($B31&gt;0,D$26/$B31,"нет БУ")</f>
        <v>4.16666666666667</v>
      </c>
      <c r="E31" s="52" t="n">
        <f aca="false">IF($B31&gt;0,E$26/$B31,"нет БУ")</f>
        <v>6.25</v>
      </c>
      <c r="F31" s="52" t="n">
        <f aca="false">IF($B31&gt;0,F$26/$B31,"нет БУ")</f>
        <v>12.5</v>
      </c>
      <c r="G31" s="52" t="n">
        <f aca="false">IF($B31&gt;0,G$26/$B31,"нет БУ")</f>
        <v>14.5833333333333</v>
      </c>
    </row>
    <row r="32" customFormat="false" ht="15" hidden="false" customHeight="false" outlineLevel="0" collapsed="false">
      <c r="B32" s="2" t="s">
        <v>563</v>
      </c>
    </row>
    <row r="34" customFormat="false" ht="15" hidden="false" customHeight="false" outlineLevel="0" collapsed="false">
      <c r="B34" s="62" t="s">
        <v>564</v>
      </c>
      <c r="C34" s="45"/>
      <c r="D34" s="45"/>
      <c r="E34" s="45"/>
      <c r="F34" s="45"/>
      <c r="G34" s="45"/>
    </row>
    <row r="35" customFormat="false" ht="15" hidden="false" customHeight="false" outlineLevel="0" collapsed="false">
      <c r="B35" s="2" t="s">
        <v>562</v>
      </c>
    </row>
    <row r="36" customFormat="false" ht="15" hidden="false" customHeight="false" outlineLevel="0" collapsed="false">
      <c r="C36" s="65" t="n">
        <v>1000000</v>
      </c>
      <c r="D36" s="65" t="n">
        <v>2500000</v>
      </c>
      <c r="E36" s="65" t="n">
        <v>3750000</v>
      </c>
      <c r="F36" s="65" t="n">
        <v>7500000</v>
      </c>
      <c r="G36" s="65" t="n">
        <v>8750000</v>
      </c>
    </row>
    <row r="37" customFormat="false" ht="15" hidden="false" customHeight="false" outlineLevel="0" collapsed="false">
      <c r="B37" s="66" t="n">
        <v>100000</v>
      </c>
      <c r="C37" s="47" t="n">
        <f aca="false">IF(AND($B37&gt;0,Сценарии_BEP!$D$35&gt;0),C$36/$B37/Сценарии_BEP!$D$35,"нет БУ")</f>
        <v>1111.11111111111</v>
      </c>
      <c r="D37" s="47" t="n">
        <f aca="false">IF(AND($B37&gt;0,Сценарии_BEP!$D$35&gt;0),D$36/$B37/Сценарии_BEP!$D$35,"нет БУ")</f>
        <v>2777.77777777778</v>
      </c>
      <c r="E37" s="47" t="n">
        <f aca="false">IF(AND($B37&gt;0,Сценарии_BEP!$D$35&gt;0),E$36/$B37/Сценарии_BEP!$D$35,"нет БУ")</f>
        <v>4166.66666666667</v>
      </c>
      <c r="F37" s="47" t="n">
        <f aca="false">IF(AND($B37&gt;0,Сценарии_BEP!$D$35&gt;0),F$36/$B37/Сценарии_BEP!$D$35,"нет БУ")</f>
        <v>8333.33333333333</v>
      </c>
      <c r="G37" s="47" t="n">
        <f aca="false">IF(AND($B37&gt;0,Сценарии_BEP!$D$35&gt;0),G$36/$B37/Сценарии_BEP!$D$35,"нет БУ")</f>
        <v>9722.22222222222</v>
      </c>
    </row>
    <row r="38" customFormat="false" ht="15" hidden="false" customHeight="false" outlineLevel="0" collapsed="false">
      <c r="B38" s="66" t="n">
        <v>200000</v>
      </c>
      <c r="C38" s="47" t="n">
        <f aca="false">IF(AND($B38&gt;0,Сценарии_BEP!$D$35&gt;0),C$36/$B38/Сценарии_BEP!$D$35,"нет БУ")</f>
        <v>555.555555555555</v>
      </c>
      <c r="D38" s="47" t="n">
        <f aca="false">IF(AND($B38&gt;0,Сценарии_BEP!$D$35&gt;0),D$36/$B38/Сценарии_BEP!$D$35,"нет БУ")</f>
        <v>1388.88888888889</v>
      </c>
      <c r="E38" s="47" t="n">
        <f aca="false">IF(AND($B38&gt;0,Сценарии_BEP!$D$35&gt;0),E$36/$B38/Сценарии_BEP!$D$35,"нет БУ")</f>
        <v>2083.33333333333</v>
      </c>
      <c r="F38" s="47" t="n">
        <f aca="false">IF(AND($B38&gt;0,Сценарии_BEP!$D$35&gt;0),F$36/$B38/Сценарии_BEP!$D$35,"нет БУ")</f>
        <v>4166.66666666667</v>
      </c>
      <c r="G38" s="47" t="n">
        <f aca="false">IF(AND($B38&gt;0,Сценарии_BEP!$D$35&gt;0),G$36/$B38/Сценарии_BEP!$D$35,"нет БУ")</f>
        <v>4861.11111111111</v>
      </c>
    </row>
    <row r="39" customFormat="false" ht="15" hidden="false" customHeight="false" outlineLevel="0" collapsed="false">
      <c r="B39" s="66" t="n">
        <v>300000</v>
      </c>
      <c r="C39" s="47" t="n">
        <f aca="false">IF(AND($B39&gt;0,Сценарии_BEP!$D$35&gt;0),C$36/$B39/Сценарии_BEP!$D$35,"нет БУ")</f>
        <v>370.37037037037</v>
      </c>
      <c r="D39" s="47" t="n">
        <f aca="false">IF(AND($B39&gt;0,Сценарии_BEP!$D$35&gt;0),D$36/$B39/Сценарии_BEP!$D$35,"нет БУ")</f>
        <v>925.925925925926</v>
      </c>
      <c r="E39" s="47" t="n">
        <f aca="false">IF(AND($B39&gt;0,Сценарии_BEP!$D$35&gt;0),E$36/$B39/Сценарии_BEP!$D$35,"нет БУ")</f>
        <v>1388.88888888889</v>
      </c>
      <c r="F39" s="47" t="n">
        <f aca="false">IF(AND($B39&gt;0,Сценарии_BEP!$D$35&gt;0),F$36/$B39/Сценарии_BEP!$D$35,"нет БУ")</f>
        <v>2777.77777777778</v>
      </c>
      <c r="G39" s="47" t="n">
        <f aca="false">IF(AND($B39&gt;0,Сценарии_BEP!$D$35&gt;0),G$36/$B39/Сценарии_BEP!$D$35,"нет БУ")</f>
        <v>3240.74074074074</v>
      </c>
    </row>
    <row r="40" customFormat="false" ht="15" hidden="false" customHeight="false" outlineLevel="0" collapsed="false">
      <c r="B40" s="66" t="n">
        <v>400000</v>
      </c>
      <c r="C40" s="47" t="n">
        <f aca="false">IF(AND($B40&gt;0,Сценарии_BEP!$D$35&gt;0),C$36/$B40/Сценарии_BEP!$D$35,"нет БУ")</f>
        <v>277.777777777778</v>
      </c>
      <c r="D40" s="47" t="n">
        <f aca="false">IF(AND($B40&gt;0,Сценарии_BEP!$D$35&gt;0),D$36/$B40/Сценарии_BEP!$D$35,"нет БУ")</f>
        <v>694.444444444444</v>
      </c>
      <c r="E40" s="47" t="n">
        <f aca="false">IF(AND($B40&gt;0,Сценарии_BEP!$D$35&gt;0),E$36/$B40/Сценарии_BEP!$D$35,"нет БУ")</f>
        <v>1041.66666666667</v>
      </c>
      <c r="F40" s="47" t="n">
        <f aca="false">IF(AND($B40&gt;0,Сценарии_BEP!$D$35&gt;0),F$36/$B40/Сценарии_BEP!$D$35,"нет БУ")</f>
        <v>2083.33333333333</v>
      </c>
      <c r="G40" s="47" t="n">
        <f aca="false">IF(AND($B40&gt;0,Сценарии_BEP!$D$35&gt;0),G$36/$B40/Сценарии_BEP!$D$35,"нет БУ")</f>
        <v>2430.55555555555</v>
      </c>
    </row>
    <row r="41" customFormat="false" ht="15" hidden="false" customHeight="false" outlineLevel="0" collapsed="false">
      <c r="B41" s="66" t="n">
        <v>600000</v>
      </c>
      <c r="C41" s="47" t="n">
        <f aca="false">IF(AND($B41&gt;0,Сценарии_BEP!$D$35&gt;0),C$36/$B41/Сценарии_BEP!$D$35,"нет БУ")</f>
        <v>185.185185185185</v>
      </c>
      <c r="D41" s="47" t="n">
        <f aca="false">IF(AND($B41&gt;0,Сценарии_BEP!$D$35&gt;0),D$36/$B41/Сценарии_BEP!$D$35,"нет БУ")</f>
        <v>462.962962962963</v>
      </c>
      <c r="E41" s="47" t="n">
        <f aca="false">IF(AND($B41&gt;0,Сценарии_BEP!$D$35&gt;0),E$36/$B41/Сценарии_BEP!$D$35,"нет БУ")</f>
        <v>694.444444444444</v>
      </c>
      <c r="F41" s="47" t="n">
        <f aca="false">IF(AND($B41&gt;0,Сценарии_BEP!$D$35&gt;0),F$36/$B41/Сценарии_BEP!$D$35,"нет БУ")</f>
        <v>1388.88888888889</v>
      </c>
      <c r="G41" s="47" t="n">
        <f aca="false">IF(AND($B41&gt;0,Сценарии_BEP!$D$35&gt;0),G$36/$B41/Сценарии_BEP!$D$35,"нет БУ")</f>
        <v>1620.37037037037</v>
      </c>
    </row>
    <row r="42" customFormat="false" ht="15" hidden="false" customHeight="false" outlineLevel="0" collapsed="false">
      <c r="B42" s="2" t="s">
        <v>565</v>
      </c>
    </row>
    <row r="44" customFormat="false" ht="15" hidden="false" customHeight="false" outlineLevel="0" collapsed="false">
      <c r="B44" s="62" t="s">
        <v>566</v>
      </c>
      <c r="C44" s="45"/>
      <c r="D44" s="45"/>
      <c r="E44" s="45"/>
      <c r="F44" s="45"/>
      <c r="G44" s="45"/>
    </row>
    <row r="45" customFormat="false" ht="15" hidden="false" customHeight="false" outlineLevel="0" collapsed="false">
      <c r="B45" s="2" t="s">
        <v>567</v>
      </c>
    </row>
    <row r="46" customFormat="false" ht="15" hidden="false" customHeight="false" outlineLevel="0" collapsed="false">
      <c r="C46" s="67" t="n">
        <v>0.003</v>
      </c>
      <c r="D46" s="67" t="n">
        <v>0.007</v>
      </c>
      <c r="E46" s="67" t="n">
        <v>0.0125</v>
      </c>
      <c r="F46" s="67" t="n">
        <v>0.02</v>
      </c>
      <c r="G46" s="67" t="n">
        <v>0.045</v>
      </c>
    </row>
    <row r="47" customFormat="false" ht="15" hidden="false" customHeight="false" outlineLevel="0" collapsed="false">
      <c r="B47" s="66" t="n">
        <v>100000</v>
      </c>
      <c r="C47" s="47" t="n">
        <f aca="false">$B47*N('Входные данные'!$F$49)*C$46</f>
        <v>60</v>
      </c>
      <c r="D47" s="47" t="n">
        <f aca="false">$B47*N('Входные данные'!$F$49)*D$46</f>
        <v>140</v>
      </c>
      <c r="E47" s="47" t="n">
        <f aca="false">$B47*N('Входные данные'!$F$49)*E$46</f>
        <v>250</v>
      </c>
      <c r="F47" s="47" t="n">
        <f aca="false">$B47*N('Входные данные'!$F$49)*F$46</f>
        <v>400</v>
      </c>
      <c r="G47" s="47" t="n">
        <f aca="false">$B47*N('Входные данные'!$F$49)*G$46</f>
        <v>900</v>
      </c>
    </row>
    <row r="48" customFormat="false" ht="15" hidden="false" customHeight="false" outlineLevel="0" collapsed="false">
      <c r="B48" s="66" t="n">
        <v>200000</v>
      </c>
      <c r="C48" s="47" t="n">
        <f aca="false">$B48*N('Входные данные'!$F$49)*C$46</f>
        <v>120</v>
      </c>
      <c r="D48" s="47" t="n">
        <f aca="false">$B48*N('Входные данные'!$F$49)*D$46</f>
        <v>280</v>
      </c>
      <c r="E48" s="47" t="n">
        <f aca="false">$B48*N('Входные данные'!$F$49)*E$46</f>
        <v>500</v>
      </c>
      <c r="F48" s="47" t="n">
        <f aca="false">$B48*N('Входные данные'!$F$49)*F$46</f>
        <v>800</v>
      </c>
      <c r="G48" s="47" t="n">
        <f aca="false">$B48*N('Входные данные'!$F$49)*G$46</f>
        <v>1800</v>
      </c>
    </row>
    <row r="49" customFormat="false" ht="15" hidden="false" customHeight="false" outlineLevel="0" collapsed="false">
      <c r="B49" s="66" t="n">
        <v>300000</v>
      </c>
      <c r="C49" s="47" t="n">
        <f aca="false">$B49*N('Входные данные'!$F$49)*C$46</f>
        <v>180</v>
      </c>
      <c r="D49" s="47" t="n">
        <f aca="false">$B49*N('Входные данные'!$F$49)*D$46</f>
        <v>420</v>
      </c>
      <c r="E49" s="47" t="n">
        <f aca="false">$B49*N('Входные данные'!$F$49)*E$46</f>
        <v>750</v>
      </c>
      <c r="F49" s="47" t="n">
        <f aca="false">$B49*N('Входные данные'!$F$49)*F$46</f>
        <v>1200</v>
      </c>
      <c r="G49" s="47" t="n">
        <f aca="false">$B49*N('Входные данные'!$F$49)*G$46</f>
        <v>2700</v>
      </c>
    </row>
    <row r="50" customFormat="false" ht="15" hidden="false" customHeight="false" outlineLevel="0" collapsed="false">
      <c r="B50" s="66" t="n">
        <v>400000</v>
      </c>
      <c r="C50" s="47" t="n">
        <f aca="false">$B50*N('Входные данные'!$F$49)*C$46</f>
        <v>240</v>
      </c>
      <c r="D50" s="47" t="n">
        <f aca="false">$B50*N('Входные данные'!$F$49)*D$46</f>
        <v>560</v>
      </c>
      <c r="E50" s="47" t="n">
        <f aca="false">$B50*N('Входные данные'!$F$49)*E$46</f>
        <v>1000</v>
      </c>
      <c r="F50" s="47" t="n">
        <f aca="false">$B50*N('Входные данные'!$F$49)*F$46</f>
        <v>1600</v>
      </c>
      <c r="G50" s="47" t="n">
        <f aca="false">$B50*N('Входные данные'!$F$49)*G$46</f>
        <v>3600</v>
      </c>
    </row>
    <row r="51" customFormat="false" ht="15" hidden="false" customHeight="false" outlineLevel="0" collapsed="false">
      <c r="B51" s="66" t="n">
        <v>600000</v>
      </c>
      <c r="C51" s="47" t="n">
        <f aca="false">$B51*N('Входные данные'!$F$49)*C$46</f>
        <v>360</v>
      </c>
      <c r="D51" s="47" t="n">
        <f aca="false">$B51*N('Входные данные'!$F$49)*D$46</f>
        <v>840</v>
      </c>
      <c r="E51" s="47" t="n">
        <f aca="false">$B51*N('Входные данные'!$F$49)*E$46</f>
        <v>1500</v>
      </c>
      <c r="F51" s="47" t="n">
        <f aca="false">$B51*N('Входные данные'!$F$49)*F$46</f>
        <v>2400</v>
      </c>
      <c r="G51" s="47" t="n">
        <f aca="false">$B51*N('Входные данные'!$F$49)*G$46</f>
        <v>5400</v>
      </c>
    </row>
    <row r="52" customFormat="false" ht="15" hidden="false" customHeight="false" outlineLevel="0" collapsed="false">
      <c r="B52" s="2" t="s">
        <v>568</v>
      </c>
    </row>
    <row r="54" customFormat="false" ht="15" hidden="false" customHeight="false" outlineLevel="0" collapsed="false">
      <c r="B54" s="62" t="s">
        <v>569</v>
      </c>
      <c r="C54" s="45"/>
      <c r="D54" s="45"/>
      <c r="E54" s="45"/>
      <c r="F54" s="45"/>
      <c r="G54" s="45"/>
    </row>
    <row r="55" customFormat="false" ht="15" hidden="false" customHeight="false" outlineLevel="0" collapsed="false">
      <c r="B55" s="2" t="s">
        <v>570</v>
      </c>
    </row>
    <row r="56" customFormat="false" ht="15" hidden="false" customHeight="false" outlineLevel="0" collapsed="false">
      <c r="C56" s="65" t="n">
        <v>0</v>
      </c>
      <c r="D56" s="65" t="n">
        <v>25000</v>
      </c>
      <c r="E56" s="65" t="n">
        <v>50000</v>
      </c>
      <c r="F56" s="65" t="n">
        <v>100000</v>
      </c>
      <c r="G56" s="65" t="n">
        <v>200000</v>
      </c>
    </row>
    <row r="57" customFormat="false" ht="15" hidden="false" customHeight="false" outlineLevel="0" collapsed="false">
      <c r="B57" s="68" t="n">
        <v>1</v>
      </c>
      <c r="C57" s="47" t="n">
        <f aca="false">IF($B57=1,(N('Входные данные'!$F$67)*(1-N('Входные данные'!$F$75))+N('Входные данные'!$F$68)*(1-N('Входные данные'!$F$76))+N('Входные данные'!$F$69)*(1-N('Входные данные'!$F$77)))*52/12*C$56,IF($B57=2,(N('Входные данные'!$F$67)*(1-N('Входные данные'!$F$75))+N('Входные данные'!$F$68)*(1-N('Входные данные'!$F$76))+N('Входные данные'!$F$69)*(1-N('Входные данные'!$F$77)))*C$56,IF(N('Входные данные'!$F$66)&gt;0,(N('Входные данные'!$F$67)*(1-N('Входные данные'!$F$75))+N('Входные данные'!$F$68)*(1-N('Входные данные'!$F$76))+N('Входные данные'!$F$69)*(1-N('Входные данные'!$F$77)))/N('Входные данные'!$F$66)*C$56,"нужна длительность этапа")))</f>
        <v>0</v>
      </c>
      <c r="D57" s="47" t="n">
        <f aca="false">IF($B57=1,(N('Входные данные'!$F$67)*(1-N('Входные данные'!$F$75))+N('Входные данные'!$F$68)*(1-N('Входные данные'!$F$76))+N('Входные данные'!$F$69)*(1-N('Входные данные'!$F$77)))*52/12*D$56,IF($B57=2,(N('Входные данные'!$F$67)*(1-N('Входные данные'!$F$75))+N('Входные данные'!$F$68)*(1-N('Входные данные'!$F$76))+N('Входные данные'!$F$69)*(1-N('Входные данные'!$F$77)))*D$56,IF(N('Входные данные'!$F$66)&gt;0,(N('Входные данные'!$F$67)*(1-N('Входные данные'!$F$75))+N('Входные данные'!$F$68)*(1-N('Входные данные'!$F$76))+N('Входные данные'!$F$69)*(1-N('Входные данные'!$F$77)))/N('Входные данные'!$F$66)*D$56,"нужна длительность этапа")))</f>
        <v>1083333.33333333</v>
      </c>
      <c r="E57" s="47" t="n">
        <f aca="false">IF($B57=1,(N('Входные данные'!$F$67)*(1-N('Входные данные'!$F$75))+N('Входные данные'!$F$68)*(1-N('Входные данные'!$F$76))+N('Входные данные'!$F$69)*(1-N('Входные данные'!$F$77)))*52/12*E$56,IF($B57=2,(N('Входные данные'!$F$67)*(1-N('Входные данные'!$F$75))+N('Входные данные'!$F$68)*(1-N('Входные данные'!$F$76))+N('Входные данные'!$F$69)*(1-N('Входные данные'!$F$77)))*E$56,IF(N('Входные данные'!$F$66)&gt;0,(N('Входные данные'!$F$67)*(1-N('Входные данные'!$F$75))+N('Входные данные'!$F$68)*(1-N('Входные данные'!$F$76))+N('Входные данные'!$F$69)*(1-N('Входные данные'!$F$77)))/N('Входные данные'!$F$66)*E$56,"нужна длительность этапа")))</f>
        <v>2166666.66666667</v>
      </c>
      <c r="F57" s="47" t="n">
        <f aca="false">IF($B57=1,(N('Входные данные'!$F$67)*(1-N('Входные данные'!$F$75))+N('Входные данные'!$F$68)*(1-N('Входные данные'!$F$76))+N('Входные данные'!$F$69)*(1-N('Входные данные'!$F$77)))*52/12*F$56,IF($B57=2,(N('Входные данные'!$F$67)*(1-N('Входные данные'!$F$75))+N('Входные данные'!$F$68)*(1-N('Входные данные'!$F$76))+N('Входные данные'!$F$69)*(1-N('Входные данные'!$F$77)))*F$56,IF(N('Входные данные'!$F$66)&gt;0,(N('Входные данные'!$F$67)*(1-N('Входные данные'!$F$75))+N('Входные данные'!$F$68)*(1-N('Входные данные'!$F$76))+N('Входные данные'!$F$69)*(1-N('Входные данные'!$F$77)))/N('Входные данные'!$F$66)*F$56,"нужна длительность этапа")))</f>
        <v>4333333.33333333</v>
      </c>
      <c r="G57" s="47" t="n">
        <f aca="false">IF($B57=1,(N('Входные данные'!$F$67)*(1-N('Входные данные'!$F$75))+N('Входные данные'!$F$68)*(1-N('Входные данные'!$F$76))+N('Входные данные'!$F$69)*(1-N('Входные данные'!$F$77)))*52/12*G$56,IF($B57=2,(N('Входные данные'!$F$67)*(1-N('Входные данные'!$F$75))+N('Входные данные'!$F$68)*(1-N('Входные данные'!$F$76))+N('Входные данные'!$F$69)*(1-N('Входные данные'!$F$77)))*G$56,IF(N('Входные данные'!$F$66)&gt;0,(N('Входные данные'!$F$67)*(1-N('Входные данные'!$F$75))+N('Входные данные'!$F$68)*(1-N('Входные данные'!$F$76))+N('Входные данные'!$F$69)*(1-N('Входные данные'!$F$77)))/N('Входные данные'!$F$66)*G$56,"нужна длительность этапа")))</f>
        <v>8666666.66666666</v>
      </c>
    </row>
    <row r="58" customFormat="false" ht="15" hidden="false" customHeight="false" outlineLevel="0" collapsed="false">
      <c r="B58" s="68" t="n">
        <v>2</v>
      </c>
      <c r="C58" s="47" t="n">
        <f aca="false">IF($B58=1,(N('Входные данные'!$F$67)*(1-N('Входные данные'!$F$75))+N('Входные данные'!$F$68)*(1-N('Входные данные'!$F$76))+N('Входные данные'!$F$69)*(1-N('Входные данные'!$F$77)))*52/12*C$56,IF($B58=2,(N('Входные данные'!$F$67)*(1-N('Входные данные'!$F$75))+N('Входные данные'!$F$68)*(1-N('Входные данные'!$F$76))+N('Входные данные'!$F$69)*(1-N('Входные данные'!$F$77)))*C$56,IF(N('Входные данные'!$F$66)&gt;0,(N('Входные данные'!$F$67)*(1-N('Входные данные'!$F$75))+N('Входные данные'!$F$68)*(1-N('Входные данные'!$F$76))+N('Входные данные'!$F$69)*(1-N('Входные данные'!$F$77)))/N('Входные данные'!$F$66)*C$56,"нужна длительность этапа")))</f>
        <v>0</v>
      </c>
      <c r="D58" s="47" t="n">
        <f aca="false">IF($B58=1,(N('Входные данные'!$F$67)*(1-N('Входные данные'!$F$75))+N('Входные данные'!$F$68)*(1-N('Входные данные'!$F$76))+N('Входные данные'!$F$69)*(1-N('Входные данные'!$F$77)))*52/12*D$56,IF($B58=2,(N('Входные данные'!$F$67)*(1-N('Входные данные'!$F$75))+N('Входные данные'!$F$68)*(1-N('Входные данные'!$F$76))+N('Входные данные'!$F$69)*(1-N('Входные данные'!$F$77)))*D$56,IF(N('Входные данные'!$F$66)&gt;0,(N('Входные данные'!$F$67)*(1-N('Входные данные'!$F$75))+N('Входные данные'!$F$68)*(1-N('Входные данные'!$F$76))+N('Входные данные'!$F$69)*(1-N('Входные данные'!$F$77)))/N('Входные данные'!$F$66)*D$56,"нужна длительность этапа")))</f>
        <v>250000</v>
      </c>
      <c r="E58" s="47" t="n">
        <f aca="false">IF($B58=1,(N('Входные данные'!$F$67)*(1-N('Входные данные'!$F$75))+N('Входные данные'!$F$68)*(1-N('Входные данные'!$F$76))+N('Входные данные'!$F$69)*(1-N('Входные данные'!$F$77)))*52/12*E$56,IF($B58=2,(N('Входные данные'!$F$67)*(1-N('Входные данные'!$F$75))+N('Входные данные'!$F$68)*(1-N('Входные данные'!$F$76))+N('Входные данные'!$F$69)*(1-N('Входные данные'!$F$77)))*E$56,IF(N('Входные данные'!$F$66)&gt;0,(N('Входные данные'!$F$67)*(1-N('Входные данные'!$F$75))+N('Входные данные'!$F$68)*(1-N('Входные данные'!$F$76))+N('Входные данные'!$F$69)*(1-N('Входные данные'!$F$77)))/N('Входные данные'!$F$66)*E$56,"нужна длительность этапа")))</f>
        <v>500000</v>
      </c>
      <c r="F58" s="47" t="n">
        <f aca="false">IF($B58=1,(N('Входные данные'!$F$67)*(1-N('Входные данные'!$F$75))+N('Входные данные'!$F$68)*(1-N('Входные данные'!$F$76))+N('Входные данные'!$F$69)*(1-N('Входные данные'!$F$77)))*52/12*F$56,IF($B58=2,(N('Входные данные'!$F$67)*(1-N('Входные данные'!$F$75))+N('Входные данные'!$F$68)*(1-N('Входные данные'!$F$76))+N('Входные данные'!$F$69)*(1-N('Входные данные'!$F$77)))*F$56,IF(N('Входные данные'!$F$66)&gt;0,(N('Входные данные'!$F$67)*(1-N('Входные данные'!$F$75))+N('Входные данные'!$F$68)*(1-N('Входные данные'!$F$76))+N('Входные данные'!$F$69)*(1-N('Входные данные'!$F$77)))/N('Входные данные'!$F$66)*F$56,"нужна длительность этапа")))</f>
        <v>1000000</v>
      </c>
      <c r="G58" s="47" t="n">
        <f aca="false">IF($B58=1,(N('Входные данные'!$F$67)*(1-N('Входные данные'!$F$75))+N('Входные данные'!$F$68)*(1-N('Входные данные'!$F$76))+N('Входные данные'!$F$69)*(1-N('Входные данные'!$F$77)))*52/12*G$56,IF($B58=2,(N('Входные данные'!$F$67)*(1-N('Входные данные'!$F$75))+N('Входные данные'!$F$68)*(1-N('Входные данные'!$F$76))+N('Входные данные'!$F$69)*(1-N('Входные данные'!$F$77)))*G$56,IF(N('Входные данные'!$F$66)&gt;0,(N('Входные данные'!$F$67)*(1-N('Входные данные'!$F$75))+N('Входные данные'!$F$68)*(1-N('Входные данные'!$F$76))+N('Входные данные'!$F$69)*(1-N('Входные данные'!$F$77)))/N('Входные данные'!$F$66)*G$56,"нужна длительность этапа")))</f>
        <v>2000000</v>
      </c>
    </row>
    <row r="59" customFormat="false" ht="15" hidden="false" customHeight="false" outlineLevel="0" collapsed="false">
      <c r="B59" s="68" t="n">
        <v>3</v>
      </c>
      <c r="C59" s="47" t="n">
        <f aca="false">IF($B59=1,(N('Входные данные'!$F$67)*(1-N('Входные данные'!$F$75))+N('Входные данные'!$F$68)*(1-N('Входные данные'!$F$76))+N('Входные данные'!$F$69)*(1-N('Входные данные'!$F$77)))*52/12*C$56,IF($B59=2,(N('Входные данные'!$F$67)*(1-N('Входные данные'!$F$75))+N('Входные данные'!$F$68)*(1-N('Входные данные'!$F$76))+N('Входные данные'!$F$69)*(1-N('Входные данные'!$F$77)))*C$56,IF(N('Входные данные'!$F$66)&gt;0,(N('Входные данные'!$F$67)*(1-N('Входные данные'!$F$75))+N('Входные данные'!$F$68)*(1-N('Входные данные'!$F$76))+N('Входные данные'!$F$69)*(1-N('Входные данные'!$F$77)))/N('Входные данные'!$F$66)*C$56,"нужна длительность этапа")))</f>
        <v>0</v>
      </c>
      <c r="D59" s="47" t="n">
        <f aca="false">IF($B59=1,(N('Входные данные'!$F$67)*(1-N('Входные данные'!$F$75))+N('Входные данные'!$F$68)*(1-N('Входные данные'!$F$76))+N('Входные данные'!$F$69)*(1-N('Входные данные'!$F$77)))*52/12*D$56,IF($B59=2,(N('Входные данные'!$F$67)*(1-N('Входные данные'!$F$75))+N('Входные данные'!$F$68)*(1-N('Входные данные'!$F$76))+N('Входные данные'!$F$69)*(1-N('Входные данные'!$F$77)))*D$56,IF(N('Входные данные'!$F$66)&gt;0,(N('Входные данные'!$F$67)*(1-N('Входные данные'!$F$75))+N('Входные данные'!$F$68)*(1-N('Входные данные'!$F$76))+N('Входные данные'!$F$69)*(1-N('Входные данные'!$F$77)))/N('Входные данные'!$F$66)*D$56,"нужна длительность этапа")))</f>
        <v>83333.3333333333</v>
      </c>
      <c r="E59" s="47" t="n">
        <f aca="false">IF($B59=1,(N('Входные данные'!$F$67)*(1-N('Входные данные'!$F$75))+N('Входные данные'!$F$68)*(1-N('Входные данные'!$F$76))+N('Входные данные'!$F$69)*(1-N('Входные данные'!$F$77)))*52/12*E$56,IF($B59=2,(N('Входные данные'!$F$67)*(1-N('Входные данные'!$F$75))+N('Входные данные'!$F$68)*(1-N('Входные данные'!$F$76))+N('Входные данные'!$F$69)*(1-N('Входные данные'!$F$77)))*E$56,IF(N('Входные данные'!$F$66)&gt;0,(N('Входные данные'!$F$67)*(1-N('Входные данные'!$F$75))+N('Входные данные'!$F$68)*(1-N('Входные данные'!$F$76))+N('Входные данные'!$F$69)*(1-N('Входные данные'!$F$77)))/N('Входные данные'!$F$66)*E$56,"нужна длительность этапа")))</f>
        <v>166666.666666667</v>
      </c>
      <c r="F59" s="47" t="n">
        <f aca="false">IF($B59=1,(N('Входные данные'!$F$67)*(1-N('Входные данные'!$F$75))+N('Входные данные'!$F$68)*(1-N('Входные данные'!$F$76))+N('Входные данные'!$F$69)*(1-N('Входные данные'!$F$77)))*52/12*F$56,IF($B59=2,(N('Входные данные'!$F$67)*(1-N('Входные данные'!$F$75))+N('Входные данные'!$F$68)*(1-N('Входные данные'!$F$76))+N('Входные данные'!$F$69)*(1-N('Входные данные'!$F$77)))*F$56,IF(N('Входные данные'!$F$66)&gt;0,(N('Входные данные'!$F$67)*(1-N('Входные данные'!$F$75))+N('Входные данные'!$F$68)*(1-N('Входные данные'!$F$76))+N('Входные данные'!$F$69)*(1-N('Входные данные'!$F$77)))/N('Входные данные'!$F$66)*F$56,"нужна длительность этапа")))</f>
        <v>333333.333333333</v>
      </c>
      <c r="G59" s="47" t="n">
        <f aca="false">IF($B59=1,(N('Входные данные'!$F$67)*(1-N('Входные данные'!$F$75))+N('Входные данные'!$F$68)*(1-N('Входные данные'!$F$76))+N('Входные данные'!$F$69)*(1-N('Входные данные'!$F$77)))*52/12*G$56,IF($B59=2,(N('Входные данные'!$F$67)*(1-N('Входные данные'!$F$75))+N('Входные данные'!$F$68)*(1-N('Входные данные'!$F$76))+N('Входные данные'!$F$69)*(1-N('Входные данные'!$F$77)))*G$56,IF(N('Входные данные'!$F$66)&gt;0,(N('Входные данные'!$F$67)*(1-N('Входные данные'!$F$75))+N('Входные данные'!$F$68)*(1-N('Входные данные'!$F$76))+N('Входные данные'!$F$69)*(1-N('Входные данные'!$F$77)))/N('Входные данные'!$F$66)*G$56,"нужна длительность этапа")))</f>
        <v>666666.666666667</v>
      </c>
    </row>
    <row r="60" customFormat="false" ht="15" hidden="false" customHeight="false" outlineLevel="0" collapsed="false">
      <c r="B60" s="2" t="s">
        <v>571</v>
      </c>
    </row>
    <row r="62" customFormat="false" ht="15" hidden="false" customHeight="false" outlineLevel="0" collapsed="false">
      <c r="B62" s="62" t="s">
        <v>572</v>
      </c>
      <c r="C62" s="45"/>
      <c r="D62" s="45"/>
      <c r="E62" s="45"/>
      <c r="F62" s="45"/>
      <c r="G62" s="45"/>
    </row>
    <row r="63" customFormat="false" ht="15" hidden="false" customHeight="false" outlineLevel="0" collapsed="false">
      <c r="B63" s="2" t="s">
        <v>570</v>
      </c>
    </row>
    <row r="64" customFormat="false" ht="15" hidden="false" customHeight="false" outlineLevel="0" collapsed="false">
      <c r="C64" s="65" t="n">
        <v>0</v>
      </c>
      <c r="D64" s="65" t="n">
        <v>25000</v>
      </c>
      <c r="E64" s="65" t="n">
        <v>50000</v>
      </c>
      <c r="F64" s="65" t="n">
        <v>100000</v>
      </c>
      <c r="G64" s="65" t="n">
        <v>200000</v>
      </c>
    </row>
    <row r="65" customFormat="false" ht="15" hidden="false" customHeight="false" outlineLevel="0" collapsed="false">
      <c r="B65" s="68" t="n">
        <v>1</v>
      </c>
      <c r="C65" s="47" t="n">
        <f aca="false">IF($B65=3,(N('Входные данные'!$F$67)*N('Входные данные'!$F$75)+N('Входные данные'!$F$68)*N('Входные данные'!$F$76)+N('Входные данные'!$F$69)*N('Входные данные'!$F$77))*C$64,IF(N('Входные данные'!$F$66)&gt;0,(N('Входные данные'!$F$67)*N('Входные данные'!$F$75)+N('Входные данные'!$F$68)*N('Входные данные'!$F$76)+N('Входные данные'!$F$69)*N('Входные данные'!$F$77))*IF($B65=1,N('Входные данные'!$F$66)*52/12,N('Входные данные'!$F$66))*C$64,"нужна длительность этапа"))</f>
        <v>0</v>
      </c>
      <c r="D65" s="47" t="n">
        <f aca="false">IF($B65=3,(N('Входные данные'!$F$67)*N('Входные данные'!$F$75)+N('Входные данные'!$F$68)*N('Входные данные'!$F$76)+N('Входные данные'!$F$69)*N('Входные данные'!$F$77))*D$64,IF(N('Входные данные'!$F$66)&gt;0,(N('Входные данные'!$F$67)*N('Входные данные'!$F$75)+N('Входные данные'!$F$68)*N('Входные данные'!$F$76)+N('Входные данные'!$F$69)*N('Входные данные'!$F$77))*IF($B65=1,N('Входные данные'!$F$66)*52/12,N('Входные данные'!$F$66))*D$64,"нужна длительность этапа"))</f>
        <v>24375000</v>
      </c>
      <c r="E65" s="47" t="n">
        <f aca="false">IF($B65=3,(N('Входные данные'!$F$67)*N('Входные данные'!$F$75)+N('Входные данные'!$F$68)*N('Входные данные'!$F$76)+N('Входные данные'!$F$69)*N('Входные данные'!$F$77))*E$64,IF(N('Входные данные'!$F$66)&gt;0,(N('Входные данные'!$F$67)*N('Входные данные'!$F$75)+N('Входные данные'!$F$68)*N('Входные данные'!$F$76)+N('Входные данные'!$F$69)*N('Входные данные'!$F$77))*IF($B65=1,N('Входные данные'!$F$66)*52/12,N('Входные данные'!$F$66))*E$64,"нужна длительность этапа"))</f>
        <v>48750000</v>
      </c>
      <c r="F65" s="47" t="n">
        <f aca="false">IF($B65=3,(N('Входные данные'!$F$67)*N('Входные данные'!$F$75)+N('Входные данные'!$F$68)*N('Входные данные'!$F$76)+N('Входные данные'!$F$69)*N('Входные данные'!$F$77))*F$64,IF(N('Входные данные'!$F$66)&gt;0,(N('Входные данные'!$F$67)*N('Входные данные'!$F$75)+N('Входные данные'!$F$68)*N('Входные данные'!$F$76)+N('Входные данные'!$F$69)*N('Входные данные'!$F$77))*IF($B65=1,N('Входные данные'!$F$66)*52/12,N('Входные данные'!$F$66))*F$64,"нужна длительность этапа"))</f>
        <v>97500000</v>
      </c>
      <c r="G65" s="47" t="n">
        <f aca="false">IF($B65=3,(N('Входные данные'!$F$67)*N('Входные данные'!$F$75)+N('Входные данные'!$F$68)*N('Входные данные'!$F$76)+N('Входные данные'!$F$69)*N('Входные данные'!$F$77))*G$64,IF(N('Входные данные'!$F$66)&gt;0,(N('Входные данные'!$F$67)*N('Входные данные'!$F$75)+N('Входные данные'!$F$68)*N('Входные данные'!$F$76)+N('Входные данные'!$F$69)*N('Входные данные'!$F$77))*IF($B65=1,N('Входные данные'!$F$66)*52/12,N('Входные данные'!$F$66))*G$64,"нужна длительность этапа"))</f>
        <v>195000000</v>
      </c>
    </row>
    <row r="66" customFormat="false" ht="15" hidden="false" customHeight="false" outlineLevel="0" collapsed="false">
      <c r="B66" s="68" t="n">
        <v>2</v>
      </c>
      <c r="C66" s="47" t="n">
        <f aca="false">IF($B66=3,(N('Входные данные'!$F$67)*N('Входные данные'!$F$75)+N('Входные данные'!$F$68)*N('Входные данные'!$F$76)+N('Входные данные'!$F$69)*N('Входные данные'!$F$77))*C$64,IF(N('Входные данные'!$F$66)&gt;0,(N('Входные данные'!$F$67)*N('Входные данные'!$F$75)+N('Входные данные'!$F$68)*N('Входные данные'!$F$76)+N('Входные данные'!$F$69)*N('Входные данные'!$F$77))*IF($B66=1,N('Входные данные'!$F$66)*52/12,N('Входные данные'!$F$66))*C$64,"нужна длительность этапа"))</f>
        <v>0</v>
      </c>
      <c r="D66" s="47" t="n">
        <f aca="false">IF($B66=3,(N('Входные данные'!$F$67)*N('Входные данные'!$F$75)+N('Входные данные'!$F$68)*N('Входные данные'!$F$76)+N('Входные данные'!$F$69)*N('Входные данные'!$F$77))*D$64,IF(N('Входные данные'!$F$66)&gt;0,(N('Входные данные'!$F$67)*N('Входные данные'!$F$75)+N('Входные данные'!$F$68)*N('Входные данные'!$F$76)+N('Входные данные'!$F$69)*N('Входные данные'!$F$77))*IF($B66=1,N('Входные данные'!$F$66)*52/12,N('Входные данные'!$F$66))*D$64,"нужна длительность этапа"))</f>
        <v>5625000</v>
      </c>
      <c r="E66" s="47" t="n">
        <f aca="false">IF($B66=3,(N('Входные данные'!$F$67)*N('Входные данные'!$F$75)+N('Входные данные'!$F$68)*N('Входные данные'!$F$76)+N('Входные данные'!$F$69)*N('Входные данные'!$F$77))*E$64,IF(N('Входные данные'!$F$66)&gt;0,(N('Входные данные'!$F$67)*N('Входные данные'!$F$75)+N('Входные данные'!$F$68)*N('Входные данные'!$F$76)+N('Входные данные'!$F$69)*N('Входные данные'!$F$77))*IF($B66=1,N('Входные данные'!$F$66)*52/12,N('Входные данные'!$F$66))*E$64,"нужна длительность этапа"))</f>
        <v>11250000</v>
      </c>
      <c r="F66" s="47" t="n">
        <f aca="false">IF($B66=3,(N('Входные данные'!$F$67)*N('Входные данные'!$F$75)+N('Входные данные'!$F$68)*N('Входные данные'!$F$76)+N('Входные данные'!$F$69)*N('Входные данные'!$F$77))*F$64,IF(N('Входные данные'!$F$66)&gt;0,(N('Входные данные'!$F$67)*N('Входные данные'!$F$75)+N('Входные данные'!$F$68)*N('Входные данные'!$F$76)+N('Входные данные'!$F$69)*N('Входные данные'!$F$77))*IF($B66=1,N('Входные данные'!$F$66)*52/12,N('Входные данные'!$F$66))*F$64,"нужна длительность этапа"))</f>
        <v>22500000</v>
      </c>
      <c r="G66" s="47" t="n">
        <f aca="false">IF($B66=3,(N('Входные данные'!$F$67)*N('Входные данные'!$F$75)+N('Входные данные'!$F$68)*N('Входные данные'!$F$76)+N('Входные данные'!$F$69)*N('Входные данные'!$F$77))*G$64,IF(N('Входные данные'!$F$66)&gt;0,(N('Входные данные'!$F$67)*N('Входные данные'!$F$75)+N('Входные данные'!$F$68)*N('Входные данные'!$F$76)+N('Входные данные'!$F$69)*N('Входные данные'!$F$77))*IF($B66=1,N('Входные данные'!$F$66)*52/12,N('Входные данные'!$F$66))*G$64,"нужна длительность этапа"))</f>
        <v>45000000</v>
      </c>
    </row>
    <row r="67" customFormat="false" ht="15" hidden="false" customHeight="false" outlineLevel="0" collapsed="false">
      <c r="B67" s="68" t="n">
        <v>3</v>
      </c>
      <c r="C67" s="47" t="n">
        <f aca="false">IF($B67=3,(N('Входные данные'!$F$67)*N('Входные данные'!$F$75)+N('Входные данные'!$F$68)*N('Входные данные'!$F$76)+N('Входные данные'!$F$69)*N('Входные данные'!$F$77))*C$64,IF(N('Входные данные'!$F$66)&gt;0,(N('Входные данные'!$F$67)*N('Входные данные'!$F$75)+N('Входные данные'!$F$68)*N('Входные данные'!$F$76)+N('Входные данные'!$F$69)*N('Входные данные'!$F$77))*IF($B67=1,N('Входные данные'!$F$66)*52/12,N('Входные данные'!$F$66))*C$64,"нужна длительность этапа"))</f>
        <v>0</v>
      </c>
      <c r="D67" s="47" t="n">
        <f aca="false">IF($B67=3,(N('Входные данные'!$F$67)*N('Входные данные'!$F$75)+N('Входные данные'!$F$68)*N('Входные данные'!$F$76)+N('Входные данные'!$F$69)*N('Входные данные'!$F$77))*D$64,IF(N('Входные данные'!$F$66)&gt;0,(N('Входные данные'!$F$67)*N('Входные данные'!$F$75)+N('Входные данные'!$F$68)*N('Входные данные'!$F$76)+N('Входные данные'!$F$69)*N('Входные данные'!$F$77))*IF($B67=1,N('Входные данные'!$F$66)*52/12,N('Входные данные'!$F$66))*D$64,"нужна длительность этапа"))</f>
        <v>1875000</v>
      </c>
      <c r="E67" s="47" t="n">
        <f aca="false">IF($B67=3,(N('Входные данные'!$F$67)*N('Входные данные'!$F$75)+N('Входные данные'!$F$68)*N('Входные данные'!$F$76)+N('Входные данные'!$F$69)*N('Входные данные'!$F$77))*E$64,IF(N('Входные данные'!$F$66)&gt;0,(N('Входные данные'!$F$67)*N('Входные данные'!$F$75)+N('Входные данные'!$F$68)*N('Входные данные'!$F$76)+N('Входные данные'!$F$69)*N('Входные данные'!$F$77))*IF($B67=1,N('Входные данные'!$F$66)*52/12,N('Входные данные'!$F$66))*E$64,"нужна длительность этапа"))</f>
        <v>3750000</v>
      </c>
      <c r="F67" s="47" t="n">
        <f aca="false">IF($B67=3,(N('Входные данные'!$F$67)*N('Входные данные'!$F$75)+N('Входные данные'!$F$68)*N('Входные данные'!$F$76)+N('Входные данные'!$F$69)*N('Входные данные'!$F$77))*F$64,IF(N('Входные данные'!$F$66)&gt;0,(N('Входные данные'!$F$67)*N('Входные данные'!$F$75)+N('Входные данные'!$F$68)*N('Входные данные'!$F$76)+N('Входные данные'!$F$69)*N('Входные данные'!$F$77))*IF($B67=1,N('Входные данные'!$F$66)*52/12,N('Входные данные'!$F$66))*F$64,"нужна длительность этапа"))</f>
        <v>7500000</v>
      </c>
      <c r="G67" s="47" t="n">
        <f aca="false">IF($B67=3,(N('Входные данные'!$F$67)*N('Входные данные'!$F$75)+N('Входные данные'!$F$68)*N('Входные данные'!$F$76)+N('Входные данные'!$F$69)*N('Входные данные'!$F$77))*G$64,IF(N('Входные данные'!$F$66)&gt;0,(N('Входные данные'!$F$67)*N('Входные данные'!$F$75)+N('Входные данные'!$F$68)*N('Входные данные'!$F$76)+N('Входные данные'!$F$69)*N('Входные данные'!$F$77))*IF($B67=1,N('Входные данные'!$F$66)*52/12,N('Входные данные'!$F$66))*G$64,"нужна длительность этапа"))</f>
        <v>15000000</v>
      </c>
    </row>
    <row r="69" customFormat="false" ht="15" hidden="false" customHeight="false" outlineLevel="0" collapsed="false">
      <c r="B69" s="62" t="s">
        <v>573</v>
      </c>
      <c r="C69" s="45"/>
      <c r="D69" s="45"/>
      <c r="E69" s="45"/>
      <c r="F69" s="45"/>
      <c r="G69" s="45"/>
      <c r="H69" s="45"/>
      <c r="I69" s="45"/>
    </row>
    <row r="70" customFormat="false" ht="35.05" hidden="false" customHeight="false" outlineLevel="0" collapsed="false">
      <c r="B70" s="43" t="s">
        <v>574</v>
      </c>
      <c r="C70" s="43" t="s">
        <v>575</v>
      </c>
      <c r="D70" s="43" t="s">
        <v>576</v>
      </c>
      <c r="E70" s="43" t="s">
        <v>577</v>
      </c>
      <c r="F70" s="43" t="s">
        <v>532</v>
      </c>
      <c r="G70" s="43" t="s">
        <v>535</v>
      </c>
      <c r="H70" s="43" t="s">
        <v>578</v>
      </c>
    </row>
    <row r="71" customFormat="false" ht="15" hidden="false" customHeight="false" outlineLevel="0" collapsed="false">
      <c r="B71" s="69" t="n">
        <v>-0.2</v>
      </c>
      <c r="C71" s="59" t="n">
        <f aca="false">'Юнит-экономика'!$D$6*(1+B71)</f>
        <v>816000</v>
      </c>
      <c r="D71" s="59" t="n">
        <f aca="false">'Юнит-экономика'!$D$8*(1+B71)-'Юнит-экономика'!$D$11-N('Входные данные'!$F$45)*N('Входные данные'!$F$46)*'Юнит-экономика'!$D$8*(1+B71)</f>
        <v>196000</v>
      </c>
      <c r="E71" s="58" t="n">
        <f aca="false">MAX(0,1+N('Входные данные'!$F$85)*B71/0.1)</f>
        <v>1.35</v>
      </c>
      <c r="F71" s="58" t="n">
        <f aca="false">Воронка!$D$18*E71</f>
        <v>3.645</v>
      </c>
      <c r="G71" s="59" t="n">
        <f aca="false">MIN(F71*(1-Воронка!$D$20),Воронка!$D$19)*D71+F71*Воронка!$D$20*N('Входные данные'!$F$40)*N('Входные данные'!$F$43)*(1+B71)</f>
        <v>418446</v>
      </c>
      <c r="H71" s="59" t="n">
        <f aca="false">N('Входные данные'!$F$49)*MAX(0,(1-Воронка!$D$20)*D71+Воронка!$D$20*N('Входные данные'!$F$40)*N('Входные данные'!$F$43)*(1+B71))</f>
        <v>22960</v>
      </c>
    </row>
    <row r="72" customFormat="false" ht="15" hidden="false" customHeight="false" outlineLevel="0" collapsed="false">
      <c r="B72" s="69" t="n">
        <v>-0.1</v>
      </c>
      <c r="C72" s="59" t="n">
        <f aca="false">'Юнит-экономика'!$D$6*(1+B72)</f>
        <v>918000</v>
      </c>
      <c r="D72" s="59" t="n">
        <f aca="false">'Юнит-экономика'!$D$8*(1+B72)-'Юнит-экономика'!$D$11-N('Входные данные'!$F$45)*N('Входные данные'!$F$46)*'Юнит-экономика'!$D$8*(1+B72)</f>
        <v>298000</v>
      </c>
      <c r="E72" s="58" t="n">
        <f aca="false">MAX(0,1+N('Входные данные'!$F$85)*B72/0.1)</f>
        <v>1.175</v>
      </c>
      <c r="F72" s="58" t="n">
        <f aca="false">Воронка!$D$18*E72</f>
        <v>3.1725</v>
      </c>
      <c r="G72" s="59" t="n">
        <f aca="false">MIN(F72*(1-Воронка!$D$20),Воронка!$D$19)*D72+F72*Воронка!$D$20*N('Входные данные'!$F$40)*N('Входные данные'!$F$43)*(1+B72)</f>
        <v>483489</v>
      </c>
      <c r="H72" s="59" t="n">
        <f aca="false">N('Входные данные'!$F$49)*MAX(0,(1-Воронка!$D$20)*D72+Воронка!$D$20*N('Входные данные'!$F$40)*N('Входные данные'!$F$43)*(1+B72))</f>
        <v>30480</v>
      </c>
    </row>
    <row r="73" customFormat="false" ht="15" hidden="false" customHeight="false" outlineLevel="0" collapsed="false">
      <c r="B73" s="69" t="n">
        <v>0</v>
      </c>
      <c r="C73" s="59" t="n">
        <f aca="false">'Юнит-экономика'!$D$6*(1+B73)</f>
        <v>1020000</v>
      </c>
      <c r="D73" s="59" t="n">
        <f aca="false">'Юнит-экономика'!$D$8*(1+B73)-'Юнит-экономика'!$D$11-N('Входные данные'!$F$45)*N('Входные данные'!$F$46)*'Юнит-экономика'!$D$8*(1+B73)</f>
        <v>400000</v>
      </c>
      <c r="E73" s="58" t="n">
        <f aca="false">MAX(0,1+N('Входные данные'!$F$85)*B73/0.1)</f>
        <v>1</v>
      </c>
      <c r="F73" s="58" t="n">
        <f aca="false">Воронка!$D$18*E73</f>
        <v>2.7</v>
      </c>
      <c r="G73" s="59" t="n">
        <f aca="false">MIN(F73*(1-Воронка!$D$20),Воронка!$D$19)*D73+F73*Воронка!$D$20*N('Входные данные'!$F$40)*N('Входные данные'!$F$43)*(1+B73)</f>
        <v>513000</v>
      </c>
      <c r="H73" s="59" t="n">
        <f aca="false">N('Входные данные'!$F$49)*MAX(0,(1-Воронка!$D$20)*D73+Воронка!$D$20*N('Входные данные'!$F$40)*N('Входные данные'!$F$43)*(1+B73))</f>
        <v>38000</v>
      </c>
    </row>
    <row r="74" customFormat="false" ht="15" hidden="false" customHeight="false" outlineLevel="0" collapsed="false">
      <c r="B74" s="69" t="n">
        <v>0.1</v>
      </c>
      <c r="C74" s="59" t="n">
        <f aca="false">'Юнит-экономика'!$D$6*(1+B74)</f>
        <v>1122000</v>
      </c>
      <c r="D74" s="59" t="n">
        <f aca="false">'Юнит-экономика'!$D$8*(1+B74)-'Юнит-экономика'!$D$11-N('Входные данные'!$F$45)*N('Входные данные'!$F$46)*'Юнит-экономика'!$D$8*(1+B74)</f>
        <v>502000</v>
      </c>
      <c r="E74" s="58" t="n">
        <f aca="false">MAX(0,1+N('Входные данные'!$F$85)*B74/0.1)</f>
        <v>0.825</v>
      </c>
      <c r="F74" s="58" t="n">
        <f aca="false">Воронка!$D$18*E74</f>
        <v>2.2275</v>
      </c>
      <c r="G74" s="59" t="n">
        <f aca="false">MIN(F74*(1-Воронка!$D$20),Воронка!$D$19)*D74+F74*Воронка!$D$20*N('Входные данные'!$F$40)*N('Входные данные'!$F$43)*(1+B74)</f>
        <v>506979</v>
      </c>
      <c r="H74" s="59" t="n">
        <f aca="false">N('Входные данные'!$F$49)*MAX(0,(1-Воронка!$D$20)*D74+Воронка!$D$20*N('Входные данные'!$F$40)*N('Входные данные'!$F$43)*(1+B74))</f>
        <v>45520</v>
      </c>
    </row>
    <row r="75" customFormat="false" ht="15" hidden="false" customHeight="false" outlineLevel="0" collapsed="false">
      <c r="B75" s="69" t="n">
        <v>0.2</v>
      </c>
      <c r="C75" s="59" t="n">
        <f aca="false">'Юнит-экономика'!$D$6*(1+B75)</f>
        <v>1224000</v>
      </c>
      <c r="D75" s="59" t="n">
        <f aca="false">'Юнит-экономика'!$D$8*(1+B75)-'Юнит-экономика'!$D$11-N('Входные данные'!$F$45)*N('Входные данные'!$F$46)*'Юнит-экономика'!$D$8*(1+B75)</f>
        <v>604000</v>
      </c>
      <c r="E75" s="58" t="n">
        <f aca="false">MAX(0,1+N('Входные данные'!$F$85)*B75/0.1)</f>
        <v>0.65</v>
      </c>
      <c r="F75" s="58" t="n">
        <f aca="false">Воронка!$D$18*E75</f>
        <v>1.755</v>
      </c>
      <c r="G75" s="59" t="n">
        <f aca="false">MIN(F75*(1-Воронка!$D$20),Воронка!$D$19)*D75+F75*Воронка!$D$20*N('Входные данные'!$F$40)*N('Входные данные'!$F$43)*(1+B75)</f>
        <v>465426</v>
      </c>
      <c r="H75" s="59" t="n">
        <f aca="false">N('Входные данные'!$F$49)*MAX(0,(1-Воронка!$D$20)*D75+Воронка!$D$20*N('Входные данные'!$F$40)*N('Входные данные'!$F$43)*(1+B75))</f>
        <v>53040</v>
      </c>
    </row>
    <row r="76" customFormat="false" ht="15" hidden="false" customHeight="false" outlineLevel="0" collapsed="false">
      <c r="B76" s="2" t="s">
        <v>579</v>
      </c>
    </row>
    <row r="78" customFormat="false" ht="15" hidden="false" customHeight="false" outlineLevel="0" collapsed="false">
      <c r="B78" s="62" t="s">
        <v>580</v>
      </c>
      <c r="C78" s="45"/>
      <c r="D78" s="45"/>
      <c r="E78" s="45"/>
      <c r="F78" s="45"/>
    </row>
    <row r="79" customFormat="false" ht="15" hidden="false" customHeight="false" outlineLevel="0" collapsed="false">
      <c r="B79" s="2" t="s">
        <v>581</v>
      </c>
    </row>
    <row r="80" customFormat="false" ht="15" hidden="false" customHeight="false" outlineLevel="0" collapsed="false">
      <c r="C80" s="63" t="n">
        <v>0.05</v>
      </c>
      <c r="D80" s="63" t="n">
        <v>0.1</v>
      </c>
      <c r="E80" s="63" t="n">
        <v>0.15</v>
      </c>
      <c r="F80" s="63" t="n">
        <v>0.2</v>
      </c>
    </row>
    <row r="81" customFormat="false" ht="15" hidden="false" customHeight="false" outlineLevel="0" collapsed="false">
      <c r="B81" s="64" t="n">
        <v>0</v>
      </c>
      <c r="C81" s="47" t="n">
        <f aca="false">(1-$B81)*'Юнит-экономика'!$D$23+$B81*C$80*N('Входные данные'!$F$43)</f>
        <v>400000</v>
      </c>
      <c r="D81" s="47" t="n">
        <f aca="false">(1-$B81)*'Юнит-экономика'!$D$23+$B81*D$80*N('Входные данные'!$F$43)</f>
        <v>400000</v>
      </c>
      <c r="E81" s="47" t="n">
        <f aca="false">(1-$B81)*'Юнит-экономика'!$D$23+$B81*E$80*N('Входные данные'!$F$43)</f>
        <v>400000</v>
      </c>
      <c r="F81" s="47" t="n">
        <f aca="false">(1-$B81)*'Юнит-экономика'!$D$23+$B81*F$80*N('Входные данные'!$F$43)</f>
        <v>400000</v>
      </c>
    </row>
    <row r="82" customFormat="false" ht="15" hidden="false" customHeight="false" outlineLevel="0" collapsed="false">
      <c r="B82" s="64" t="n">
        <v>0.2</v>
      </c>
      <c r="C82" s="47" t="n">
        <f aca="false">(1-$B82)*'Юнит-экономика'!$D$23+$B82*C$80*N('Входные данные'!$F$43)</f>
        <v>330000</v>
      </c>
      <c r="D82" s="47" t="n">
        <f aca="false">(1-$B82)*'Юнит-экономика'!$D$23+$B82*D$80*N('Входные данные'!$F$43)</f>
        <v>340000</v>
      </c>
      <c r="E82" s="47" t="n">
        <f aca="false">(1-$B82)*'Юнит-экономика'!$D$23+$B82*E$80*N('Входные данные'!$F$43)</f>
        <v>350000</v>
      </c>
      <c r="F82" s="47" t="n">
        <f aca="false">(1-$B82)*'Юнит-экономика'!$D$23+$B82*F$80*N('Входные данные'!$F$43)</f>
        <v>360000</v>
      </c>
    </row>
    <row r="83" customFormat="false" ht="15" hidden="false" customHeight="false" outlineLevel="0" collapsed="false">
      <c r="B83" s="64" t="n">
        <v>0.4</v>
      </c>
      <c r="C83" s="47" t="n">
        <f aca="false">(1-$B83)*'Юнит-экономика'!$D$23+$B83*C$80*N('Входные данные'!$F$43)</f>
        <v>260000</v>
      </c>
      <c r="D83" s="47" t="n">
        <f aca="false">(1-$B83)*'Юнит-экономика'!$D$23+$B83*D$80*N('Входные данные'!$F$43)</f>
        <v>280000</v>
      </c>
      <c r="E83" s="47" t="n">
        <f aca="false">(1-$B83)*'Юнит-экономика'!$D$23+$B83*E$80*N('Входные данные'!$F$43)</f>
        <v>300000</v>
      </c>
      <c r="F83" s="47" t="n">
        <f aca="false">(1-$B83)*'Юнит-экономика'!$D$23+$B83*F$80*N('Входные данные'!$F$43)</f>
        <v>320000</v>
      </c>
    </row>
    <row r="84" customFormat="false" ht="15" hidden="false" customHeight="false" outlineLevel="0" collapsed="false">
      <c r="B84" s="64" t="n">
        <v>0.7</v>
      </c>
      <c r="C84" s="47" t="n">
        <f aca="false">(1-$B84)*'Юнит-экономика'!$D$23+$B84*C$80*N('Входные данные'!$F$43)</f>
        <v>155000</v>
      </c>
      <c r="D84" s="47" t="n">
        <f aca="false">(1-$B84)*'Юнит-экономика'!$D$23+$B84*D$80*N('Входные данные'!$F$43)</f>
        <v>190000</v>
      </c>
      <c r="E84" s="47" t="n">
        <f aca="false">(1-$B84)*'Юнит-экономика'!$D$23+$B84*E$80*N('Входные данные'!$F$43)</f>
        <v>225000</v>
      </c>
      <c r="F84" s="47" t="n">
        <f aca="false">(1-$B84)*'Юнит-экономика'!$D$23+$B84*F$80*N('Входные данные'!$F$43)</f>
        <v>260000</v>
      </c>
    </row>
    <row r="85" customFormat="false" ht="15" hidden="false" customHeight="false" outlineLevel="0" collapsed="false">
      <c r="B85" s="64" t="n">
        <v>1</v>
      </c>
      <c r="C85" s="47" t="n">
        <f aca="false">(1-$B85)*'Юнит-экономика'!$D$23+$B85*C$80*N('Входные данные'!$F$43)</f>
        <v>50000</v>
      </c>
      <c r="D85" s="47" t="n">
        <f aca="false">(1-$B85)*'Юнит-экономика'!$D$23+$B85*D$80*N('Входные данные'!$F$43)</f>
        <v>100000</v>
      </c>
      <c r="E85" s="47" t="n">
        <f aca="false">(1-$B85)*'Юнит-экономика'!$D$23+$B85*E$80*N('Входные данные'!$F$43)</f>
        <v>150000</v>
      </c>
      <c r="F85" s="47" t="n">
        <f aca="false">(1-$B85)*'Юнит-экономика'!$D$23+$B85*F$80*N('Входные данные'!$F$43)</f>
        <v>200000</v>
      </c>
    </row>
    <row r="86" customFormat="false" ht="15" hidden="false" customHeight="false" outlineLevel="0" collapsed="false">
      <c r="B86" s="2" t="s">
        <v>582</v>
      </c>
    </row>
    <row r="88" customFormat="false" ht="15" hidden="false" customHeight="false" outlineLevel="0" collapsed="false">
      <c r="B88" s="62" t="s">
        <v>583</v>
      </c>
      <c r="C88" s="45"/>
      <c r="D88" s="45"/>
      <c r="E88" s="45"/>
    </row>
    <row r="89" customFormat="false" ht="15" hidden="false" customHeight="false" outlineLevel="0" collapsed="false">
      <c r="B89" s="2" t="s">
        <v>584</v>
      </c>
    </row>
    <row r="90" customFormat="false" ht="15" hidden="false" customHeight="false" outlineLevel="0" collapsed="false">
      <c r="C90" s="70" t="s">
        <v>585</v>
      </c>
      <c r="D90" s="70" t="s">
        <v>586</v>
      </c>
      <c r="E90" s="70" t="s">
        <v>587</v>
      </c>
    </row>
    <row r="91" customFormat="false" ht="15" hidden="false" customHeight="false" outlineLevel="0" collapsed="false">
      <c r="B91" s="64" t="n">
        <v>0</v>
      </c>
      <c r="C91" s="53" t="n">
        <f aca="false">Воронка!$D$12*$B91</f>
        <v>0</v>
      </c>
      <c r="D91" s="47" t="n">
        <f aca="false">(MIN(Воронка!$D$12*$B91*(1-Воронка!$D$20),Воронка!$D$19)*'Юнит-экономика'!$D$23+Воронка!$D$12*$B91*Воронка!$D$20*'Юнит-экономика'!$D$27)</f>
        <v>0</v>
      </c>
      <c r="E91" s="47" t="n">
        <f aca="false">Воронка!$D$28-(MIN(Воронка!$D$12*$B91*(1-Воронка!$D$20),Воронка!$D$19)*'Юнит-экономика'!$D$23+Воронка!$D$12*$B91*Воронка!$D$20*'Юнит-экономика'!$D$27)</f>
        <v>513000</v>
      </c>
    </row>
    <row r="92" customFormat="false" ht="15" hidden="false" customHeight="false" outlineLevel="0" collapsed="false">
      <c r="B92" s="64" t="n">
        <v>0.1</v>
      </c>
      <c r="C92" s="53" t="n">
        <f aca="false">Воронка!$D$12*$B92</f>
        <v>0.27</v>
      </c>
      <c r="D92" s="47" t="n">
        <f aca="false">(MIN(Воронка!$D$12*$B92*(1-Воронка!$D$20),Воронка!$D$19)*'Юнит-экономика'!$D$23+Воронка!$D$12*$B92*Воронка!$D$20*'Юнит-экономика'!$D$27)</f>
        <v>51300</v>
      </c>
      <c r="E92" s="47" t="n">
        <f aca="false">Воронка!$D$28-(MIN(Воронка!$D$12*$B92*(1-Воронка!$D$20),Воронка!$D$19)*'Юнит-экономика'!$D$23+Воронка!$D$12*$B92*Воронка!$D$20*'Юнит-экономика'!$D$27)</f>
        <v>461700</v>
      </c>
    </row>
    <row r="93" customFormat="false" ht="15" hidden="false" customHeight="false" outlineLevel="0" collapsed="false">
      <c r="B93" s="64" t="n">
        <v>0.25</v>
      </c>
      <c r="C93" s="53" t="n">
        <f aca="false">Воронка!$D$12*$B93</f>
        <v>0.675</v>
      </c>
      <c r="D93" s="47" t="n">
        <f aca="false">(MIN(Воронка!$D$12*$B93*(1-Воронка!$D$20),Воронка!$D$19)*'Юнит-экономика'!$D$23+Воронка!$D$12*$B93*Воронка!$D$20*'Юнит-экономика'!$D$27)</f>
        <v>128250</v>
      </c>
      <c r="E93" s="47" t="n">
        <f aca="false">Воронка!$D$28-(MIN(Воронка!$D$12*$B93*(1-Воронка!$D$20),Воронка!$D$19)*'Юнит-экономика'!$D$23+Воронка!$D$12*$B93*Воронка!$D$20*'Юнит-экономика'!$D$27)</f>
        <v>384750</v>
      </c>
    </row>
    <row r="94" customFormat="false" ht="15" hidden="false" customHeight="false" outlineLevel="0" collapsed="false">
      <c r="B94" s="64" t="n">
        <v>0.5</v>
      </c>
      <c r="C94" s="53" t="n">
        <f aca="false">Воронка!$D$12*$B94</f>
        <v>1.35</v>
      </c>
      <c r="D94" s="47" t="n">
        <f aca="false">(MIN(Воронка!$D$12*$B94*(1-Воронка!$D$20),Воронка!$D$19)*'Юнит-экономика'!$D$23+Воронка!$D$12*$B94*Воронка!$D$20*'Юнит-экономика'!$D$27)</f>
        <v>256500</v>
      </c>
      <c r="E94" s="47" t="n">
        <f aca="false">Воронка!$D$28-(MIN(Воронка!$D$12*$B94*(1-Воронка!$D$20),Воронка!$D$19)*'Юнит-экономика'!$D$23+Воронка!$D$12*$B94*Воронка!$D$20*'Юнит-экономика'!$D$27)</f>
        <v>256500</v>
      </c>
    </row>
    <row r="95" customFormat="false" ht="15" hidden="false" customHeight="false" outlineLevel="0" collapsed="false">
      <c r="B95" s="64" t="n">
        <v>0.75</v>
      </c>
      <c r="C95" s="53" t="n">
        <f aca="false">Воронка!$D$12*$B95</f>
        <v>2.025</v>
      </c>
      <c r="D95" s="47" t="n">
        <f aca="false">(MIN(Воронка!$D$12*$B95*(1-Воронка!$D$20),Воронка!$D$19)*'Юнит-экономика'!$D$23+Воронка!$D$12*$B95*Воронка!$D$20*'Юнит-экономика'!$D$27)</f>
        <v>384750</v>
      </c>
      <c r="E95" s="47" t="n">
        <f aca="false">Воронка!$D$28-(MIN(Воронка!$D$12*$B95*(1-Воронка!$D$20),Воронка!$D$19)*'Юнит-экономика'!$D$23+Воронка!$D$12*$B95*Воронка!$D$20*'Юнит-экономика'!$D$27)</f>
        <v>128250</v>
      </c>
    </row>
    <row r="96" customFormat="false" ht="15" hidden="false" customHeight="false" outlineLevel="0" collapsed="false">
      <c r="B96" s="64" t="n">
        <v>1</v>
      </c>
      <c r="C96" s="53" t="n">
        <f aca="false">Воронка!$D$12*$B96</f>
        <v>2.7</v>
      </c>
      <c r="D96" s="47" t="n">
        <f aca="false">(MIN(Воронка!$D$12*$B96*(1-Воронка!$D$20),Воронка!$D$19)*'Юнит-экономика'!$D$23+Воронка!$D$12*$B96*Воронка!$D$20*'Юнит-экономика'!$D$27)</f>
        <v>513000</v>
      </c>
      <c r="E96" s="47" t="n">
        <f aca="false">Воронка!$D$28-(MIN(Воронка!$D$12*$B96*(1-Воронка!$D$20),Воронка!$D$19)*'Юнит-экономика'!$D$23+Воронка!$D$12*$B96*Воронка!$D$20*'Юнит-экономика'!$D$27)</f>
        <v>0</v>
      </c>
    </row>
    <row r="98" customFormat="false" ht="15" hidden="false" customHeight="false" outlineLevel="0" collapsed="false">
      <c r="B98" s="62" t="s">
        <v>588</v>
      </c>
      <c r="C98" s="45"/>
      <c r="D98" s="45"/>
      <c r="E98" s="45"/>
      <c r="F98" s="45"/>
      <c r="G98" s="45"/>
    </row>
    <row r="99" customFormat="false" ht="15" hidden="false" customHeight="false" outlineLevel="0" collapsed="false">
      <c r="B99" s="2" t="s">
        <v>557</v>
      </c>
    </row>
    <row r="100" customFormat="false" ht="15" hidden="false" customHeight="false" outlineLevel="0" collapsed="false">
      <c r="C100" s="63" t="n">
        <v>0.01</v>
      </c>
      <c r="D100" s="63" t="n">
        <v>0.02</v>
      </c>
      <c r="E100" s="63" t="n">
        <v>0.035</v>
      </c>
      <c r="F100" s="63" t="n">
        <v>0.05</v>
      </c>
      <c r="G100" s="63" t="n">
        <v>0.07</v>
      </c>
    </row>
    <row r="101" customFormat="false" ht="15" hidden="false" customHeight="false" outlineLevel="0" collapsed="false">
      <c r="B101" s="64" t="n">
        <v>0.1</v>
      </c>
      <c r="C101" s="47" t="n">
        <f aca="false">IF('Юнит-экономика'!$D$34&gt;0,Сценарии_BEP!$D$21/('Юнит-экономика'!$D$34*$B101*C$100*Воронка!$D$11*Воронка!$D$17),"нет БУ")</f>
        <v>51169.5906432749</v>
      </c>
      <c r="D101" s="47" t="n">
        <f aca="false">IF('Юнит-экономика'!$D$34&gt;0,Сценарии_BEP!$D$21/('Юнит-экономика'!$D$34*$B101*D$100*Воронка!$D$11*Воронка!$D$17),"нет БУ")</f>
        <v>25584.7953216374</v>
      </c>
      <c r="E101" s="47" t="n">
        <f aca="false">IF('Юнит-экономика'!$D$34&gt;0,Сценарии_BEP!$D$21/('Юнит-экономика'!$D$34*$B101*E$100*Воронка!$D$11*Воронка!$D$17),"нет БУ")</f>
        <v>14619.8830409357</v>
      </c>
      <c r="F101" s="47" t="n">
        <f aca="false">IF('Юнит-экономика'!$D$34&gt;0,Сценарии_BEP!$D$21/('Юнит-экономика'!$D$34*$B101*F$100*Воронка!$D$11*Воронка!$D$17),"нет БУ")</f>
        <v>10233.918128655</v>
      </c>
      <c r="G101" s="47" t="n">
        <f aca="false">IF('Юнит-экономика'!$D$34&gt;0,Сценарии_BEP!$D$21/('Юнит-экономика'!$D$34*$B101*G$100*Воронка!$D$11*Воронка!$D$17),"нет БУ")</f>
        <v>7309.94152046784</v>
      </c>
    </row>
    <row r="102" customFormat="false" ht="15" hidden="false" customHeight="false" outlineLevel="0" collapsed="false">
      <c r="B102" s="64" t="n">
        <v>0.15</v>
      </c>
      <c r="C102" s="47" t="n">
        <f aca="false">IF('Юнит-экономика'!$D$34&gt;0,Сценарии_BEP!$D$21/('Юнит-экономика'!$D$34*$B102*C$100*Воронка!$D$11*Воронка!$D$17),"нет БУ")</f>
        <v>34113.0604288499</v>
      </c>
      <c r="D102" s="47" t="n">
        <f aca="false">IF('Юнит-экономика'!$D$34&gt;0,Сценарии_BEP!$D$21/('Юнит-экономика'!$D$34*$B102*D$100*Воронка!$D$11*Воронка!$D$17),"нет БУ")</f>
        <v>17056.530214425</v>
      </c>
      <c r="E102" s="47" t="n">
        <f aca="false">IF('Юнит-экономика'!$D$34&gt;0,Сценарии_BEP!$D$21/('Юнит-экономика'!$D$34*$B102*E$100*Воронка!$D$11*Воронка!$D$17),"нет БУ")</f>
        <v>9746.58869395711</v>
      </c>
      <c r="F102" s="47" t="n">
        <f aca="false">IF('Юнит-экономика'!$D$34&gt;0,Сценарии_BEP!$D$21/('Юнит-экономика'!$D$34*$B102*F$100*Воронка!$D$11*Воронка!$D$17),"нет БУ")</f>
        <v>6822.61208576998</v>
      </c>
      <c r="G102" s="47" t="n">
        <f aca="false">IF('Юнит-экономика'!$D$34&gt;0,Сценарии_BEP!$D$21/('Юнит-экономика'!$D$34*$B102*G$100*Воронка!$D$11*Воронка!$D$17),"нет БУ")</f>
        <v>4873.29434697856</v>
      </c>
    </row>
    <row r="103" customFormat="false" ht="15" hidden="false" customHeight="false" outlineLevel="0" collapsed="false">
      <c r="B103" s="64" t="n">
        <v>0.2</v>
      </c>
      <c r="C103" s="47" t="n">
        <f aca="false">IF('Юнит-экономика'!$D$34&gt;0,Сценарии_BEP!$D$21/('Юнит-экономика'!$D$34*$B103*C$100*Воронка!$D$11*Воронка!$D$17),"нет БУ")</f>
        <v>25584.7953216374</v>
      </c>
      <c r="D103" s="47" t="n">
        <f aca="false">IF('Юнит-экономика'!$D$34&gt;0,Сценарии_BEP!$D$21/('Юнит-экономика'!$D$34*$B103*D$100*Воронка!$D$11*Воронка!$D$17),"нет БУ")</f>
        <v>12792.3976608187</v>
      </c>
      <c r="E103" s="47" t="n">
        <f aca="false">IF('Юнит-экономика'!$D$34&gt;0,Сценарии_BEP!$D$21/('Юнит-экономика'!$D$34*$B103*E$100*Воронка!$D$11*Воронка!$D$17),"нет БУ")</f>
        <v>7309.94152046784</v>
      </c>
      <c r="F103" s="47" t="n">
        <f aca="false">IF('Юнит-экономика'!$D$34&gt;0,Сценарии_BEP!$D$21/('Юнит-экономика'!$D$34*$B103*F$100*Воронка!$D$11*Воронка!$D$17),"нет БУ")</f>
        <v>5116.95906432749</v>
      </c>
      <c r="G103" s="47" t="n">
        <f aca="false">IF('Юнит-экономика'!$D$34&gt;0,Сценарии_BEP!$D$21/('Юнит-экономика'!$D$34*$B103*G$100*Воронка!$D$11*Воронка!$D$17),"нет БУ")</f>
        <v>3654.97076023392</v>
      </c>
    </row>
    <row r="104" customFormat="false" ht="15" hidden="false" customHeight="false" outlineLevel="0" collapsed="false">
      <c r="B104" s="64" t="n">
        <v>0.25</v>
      </c>
      <c r="C104" s="47" t="n">
        <f aca="false">IF('Юнит-экономика'!$D$34&gt;0,Сценарии_BEP!$D$21/('Юнит-экономика'!$D$34*$B104*C$100*Воронка!$D$11*Воронка!$D$17),"нет БУ")</f>
        <v>20467.8362573099</v>
      </c>
      <c r="D104" s="47" t="n">
        <f aca="false">IF('Юнит-экономика'!$D$34&gt;0,Сценарии_BEP!$D$21/('Юнит-экономика'!$D$34*$B104*D$100*Воронка!$D$11*Воронка!$D$17),"нет БУ")</f>
        <v>10233.918128655</v>
      </c>
      <c r="E104" s="47" t="n">
        <f aca="false">IF('Юнит-экономика'!$D$34&gt;0,Сценарии_BEP!$D$21/('Юнит-экономика'!$D$34*$B104*E$100*Воронка!$D$11*Воронка!$D$17),"нет БУ")</f>
        <v>5847.95321637427</v>
      </c>
      <c r="F104" s="47" t="n">
        <f aca="false">IF('Юнит-экономика'!$D$34&gt;0,Сценарии_BEP!$D$21/('Юнит-экономика'!$D$34*$B104*F$100*Воронка!$D$11*Воронка!$D$17),"нет БУ")</f>
        <v>4093.56725146199</v>
      </c>
      <c r="G104" s="47" t="n">
        <f aca="false">IF('Юнит-экономика'!$D$34&gt;0,Сценарии_BEP!$D$21/('Юнит-экономика'!$D$34*$B104*G$100*Воронка!$D$11*Воронка!$D$17),"нет БУ")</f>
        <v>2923.97660818713</v>
      </c>
    </row>
    <row r="105" customFormat="false" ht="15" hidden="false" customHeight="false" outlineLevel="0" collapsed="false">
      <c r="B105" s="64" t="n">
        <v>0.3</v>
      </c>
      <c r="C105" s="47" t="n">
        <f aca="false">IF('Юнит-экономика'!$D$34&gt;0,Сценарии_BEP!$D$21/('Юнит-экономика'!$D$34*$B105*C$100*Воронка!$D$11*Воронка!$D$17),"нет БУ")</f>
        <v>17056.530214425</v>
      </c>
      <c r="D105" s="47" t="n">
        <f aca="false">IF('Юнит-экономика'!$D$34&gt;0,Сценарии_BEP!$D$21/('Юнит-экономика'!$D$34*$B105*D$100*Воронка!$D$11*Воронка!$D$17),"нет БУ")</f>
        <v>8528.26510721248</v>
      </c>
      <c r="E105" s="47" t="n">
        <f aca="false">IF('Юнит-экономика'!$D$34&gt;0,Сценарии_BEP!$D$21/('Юнит-экономика'!$D$34*$B105*E$100*Воронка!$D$11*Воронка!$D$17),"нет БУ")</f>
        <v>4873.29434697856</v>
      </c>
      <c r="F105" s="47" t="n">
        <f aca="false">IF('Юнит-экономика'!$D$34&gt;0,Сценарии_BEP!$D$21/('Юнит-экономика'!$D$34*$B105*F$100*Воронка!$D$11*Воронка!$D$17),"нет БУ")</f>
        <v>3411.30604288499</v>
      </c>
      <c r="G105" s="47" t="n">
        <f aca="false">IF('Юнит-экономика'!$D$34&gt;0,Сценарии_BEP!$D$21/('Юнит-экономика'!$D$34*$B105*G$100*Воронка!$D$11*Воронка!$D$17),"нет БУ")</f>
        <v>2436.64717348928</v>
      </c>
    </row>
    <row r="106" customFormat="false" ht="15" hidden="false" customHeight="false" outlineLevel="0" collapsed="false">
      <c r="B106" s="2" t="s">
        <v>589</v>
      </c>
    </row>
    <row r="108" customFormat="false" ht="15" hidden="false" customHeight="false" outlineLevel="0" collapsed="false">
      <c r="B108" s="62" t="s">
        <v>590</v>
      </c>
      <c r="C108" s="45"/>
      <c r="D108" s="45"/>
      <c r="E108" s="45"/>
    </row>
    <row r="109" customFormat="false" ht="23.85" hidden="false" customHeight="false" outlineLevel="0" collapsed="false">
      <c r="B109" s="43" t="s">
        <v>591</v>
      </c>
      <c r="C109" s="43" t="s">
        <v>592</v>
      </c>
      <c r="D109" s="43" t="s">
        <v>593</v>
      </c>
      <c r="E109" s="43" t="s">
        <v>594</v>
      </c>
    </row>
    <row r="110" customFormat="false" ht="28.35" hidden="false" customHeight="false" outlineLevel="0" collapsed="false">
      <c r="B110" s="71" t="s">
        <v>595</v>
      </c>
      <c r="C110" s="59" t="n">
        <f aca="false">(IF(N('Входные данные'!$F$71)&gt;0,N('Входные данные'!$F$67)*IF(N('Входные данные'!$F$65)=1,52/12,IF(N('Входные данные'!$F$65)=2,1,IF(AND(N('Входные данные'!$F$65)=3,N('Входные данные'!$F$66)&gt;0),1/N('Входные данные'!$F$66),0)))/(N('Входные данные'!$F$71)*52/12)*N('Входные данные'!$F$72),0))+(IF(N('Входные данные'!$F$71)&gt;0,N('Входные данные'!$F$68)*IF(N('Входные данные'!$F$65)=1,52/12,IF(N('Входные данные'!$F$65)=2,1,IF(AND(N('Входные данные'!$F$65)=3,N('Входные данные'!$F$66)&gt;0),1/N('Входные данные'!$F$66),0)))/(N('Входные данные'!$F$71)*52/12)*N('Входные данные'!$F$73),0))+(IF(N('Входные данные'!$F$71)&gt;0,N('Входные данные'!$F$69)*IF(N('Входные данные'!$F$65)=1,52/12,IF(N('Входные данные'!$F$65)=2,1,IF(AND(N('Входные данные'!$F$65)=3,N('Входные данные'!$F$66)&gt;0),1/N('Входные данные'!$F$66),0)))/(N('Входные данные'!$F$71)*52/12)*N('Входные данные'!$F$74),0))</f>
        <v>23750000</v>
      </c>
      <c r="D110" s="59" t="n">
        <f aca="false">(IF(N('Входные данные'!$F$71)&gt;0,N('Входные данные'!$F$67)*IF(N('Входные данные'!$F$65)=1,52/12,IF(N('Входные данные'!$F$65)=2,1,IF(AND(N('Входные данные'!$F$65)=3,N('Входные данные'!$F$66)&gt;0),1/N('Входные данные'!$F$66),0)))/(N('Входные данные'!$F$71)*52/12)*N('Входные данные'!$F$72),0))*(1-N('Входные данные'!$F$75))+(IF(N('Входные данные'!$F$71)&gt;0,N('Входные данные'!$F$68)*IF(N('Входные данные'!$F$65)=1,52/12,IF(N('Входные данные'!$F$65)=2,1,IF(AND(N('Входные данные'!$F$65)=3,N('Входные данные'!$F$66)&gt;0),1/N('Входные данные'!$F$66),0)))/(N('Входные данные'!$F$71)*52/12)*N('Входные данные'!$F$73),0))*(1-N('Входные данные'!$F$76))+(IF(N('Входные данные'!$F$71)&gt;0,N('Входные данные'!$F$69)*IF(N('Входные данные'!$F$65)=1,52/12,IF(N('Входные данные'!$F$65)=2,1,IF(AND(N('Входные данные'!$F$65)=3,N('Входные данные'!$F$66)&gt;0),1/N('Входные данные'!$F$66),0)))/(N('Входные данные'!$F$71)*52/12)*N('Входные данные'!$F$74),0))*(1-N('Входные данные'!$F$77))</f>
        <v>1250000</v>
      </c>
      <c r="E110" s="59" t="n">
        <f aca="false">(IF(N('Входные данные'!$F$71)&gt;0,N('Входные данные'!$F$67)*IF(N('Входные данные'!$F$65)=1,52/12,IF(N('Входные данные'!$F$65)=2,1,IF(AND(N('Входные данные'!$F$65)=3,N('Входные данные'!$F$66)&gt;0),1/N('Входные данные'!$F$66),0)))/(N('Входные данные'!$F$71)*52/12)*N('Входные данные'!$F$72),0))*N('Входные данные'!$F$75)*N('Входные данные'!$F$66)+(IF(N('Входные данные'!$F$71)&gt;0,N('Входные данные'!$F$68)*IF(N('Входные данные'!$F$65)=1,52/12,IF(N('Входные данные'!$F$65)=2,1,IF(AND(N('Входные данные'!$F$65)=3,N('Входные данные'!$F$66)&gt;0),1/N('Входные данные'!$F$66),0)))/(N('Входные данные'!$F$71)*52/12)*N('Входные данные'!$F$73),0))*N('Входные данные'!$F$76)*N('Входные данные'!$F$66)+(IF(N('Входные данные'!$F$71)&gt;0,N('Входные данные'!$F$69)*IF(N('Входные данные'!$F$65)=1,52/12,IF(N('Входные данные'!$F$65)=2,1,IF(AND(N('Входные данные'!$F$65)=3,N('Входные данные'!$F$66)&gt;0),1/N('Входные данные'!$F$66),0)))/(N('Входные данные'!$F$71)*52/12)*N('Входные данные'!$F$74),0))*N('Входные данные'!$F$77)*N('Входные данные'!$F$66)</f>
        <v>67500000</v>
      </c>
    </row>
    <row r="111" customFormat="false" ht="28.35" hidden="false" customHeight="false" outlineLevel="0" collapsed="false">
      <c r="B111" s="71" t="s">
        <v>596</v>
      </c>
      <c r="C111" s="59" t="n">
        <f aca="false">(N('Входные данные'!$F$72))+(N('Входные данные'!$F$73))+(N('Входные данные'!$F$74))</f>
        <v>45000000</v>
      </c>
      <c r="D111" s="59" t="n">
        <f aca="false">(N('Входные данные'!$F$72))*(1-N('Входные данные'!$F$75))+(N('Входные данные'!$F$73))*(1-N('Входные данные'!$F$76))+(N('Входные данные'!$F$74))*(1-N('Входные данные'!$F$77))</f>
        <v>1000000</v>
      </c>
      <c r="E111" s="59" t="n">
        <f aca="false">(N('Входные данные'!$F$72))*N('Входные данные'!$F$75)*N('Входные данные'!$F$66)+(N('Входные данные'!$F$73))*N('Входные данные'!$F$76)*N('Входные данные'!$F$66)+(N('Входные данные'!$F$74))*N('Входные данные'!$F$77)*N('Входные данные'!$F$66)</f>
        <v>132000000</v>
      </c>
    </row>
    <row r="112" customFormat="false" ht="15" hidden="false" customHeight="false" outlineLevel="0" collapsed="false">
      <c r="B112" s="2" t="s">
        <v>597</v>
      </c>
    </row>
    <row r="114" customFormat="false" ht="15" hidden="false" customHeight="false" outlineLevel="0" collapsed="false">
      <c r="B114" s="62" t="s">
        <v>598</v>
      </c>
      <c r="C114" s="45"/>
      <c r="D114" s="45"/>
      <c r="E114" s="45"/>
    </row>
    <row r="115" customFormat="false" ht="15" hidden="false" customHeight="false" outlineLevel="0" collapsed="false">
      <c r="B115" s="43" t="s">
        <v>599</v>
      </c>
      <c r="C115" s="43" t="s">
        <v>332</v>
      </c>
      <c r="D115" s="43" t="s">
        <v>600</v>
      </c>
      <c r="E115" s="43" t="s">
        <v>601</v>
      </c>
    </row>
    <row r="116" customFormat="false" ht="15" hidden="false" customHeight="false" outlineLevel="0" collapsed="false">
      <c r="B116" s="59" t="n">
        <f aca="false">N('Входные данные'!$F$17)</f>
        <v>800000</v>
      </c>
      <c r="C116" s="59" t="n">
        <f aca="false">B116-IF(N('Входные данные'!$F$22)=1,B116-B116/(1+N('Входные данные'!$F$23)),0)</f>
        <v>800000</v>
      </c>
      <c r="D116" s="59" t="n">
        <f aca="false">'Юнит-экономика'!$D$11</f>
        <v>620000</v>
      </c>
      <c r="E116" s="59" t="n">
        <f aca="false">C116-D116</f>
        <v>180000</v>
      </c>
    </row>
    <row r="117" customFormat="false" ht="15" hidden="false" customHeight="false" outlineLevel="0" collapsed="false">
      <c r="B117" s="59" t="n">
        <f aca="false">N('Входные данные'!$F$18)</f>
        <v>1000000</v>
      </c>
      <c r="C117" s="59" t="n">
        <f aca="false">B117-IF(N('Входные данные'!$F$22)=1,B117-B117/(1+N('Входные данные'!$F$23)),0)</f>
        <v>1000000</v>
      </c>
      <c r="D117" s="59" t="n">
        <f aca="false">'Юнит-экономика'!$D$11</f>
        <v>620000</v>
      </c>
      <c r="E117" s="59" t="n">
        <f aca="false">C117-D117</f>
        <v>380000</v>
      </c>
    </row>
    <row r="118" customFormat="false" ht="15" hidden="false" customHeight="false" outlineLevel="0" collapsed="false">
      <c r="B118" s="59" t="n">
        <f aca="false">N('Входные данные'!$F$19)</f>
        <v>1500000</v>
      </c>
      <c r="C118" s="59" t="n">
        <f aca="false">B118-IF(N('Входные данные'!$F$22)=1,B118-B118/(1+N('Входные данные'!$F$23)),0)</f>
        <v>1500000</v>
      </c>
      <c r="D118" s="59" t="n">
        <f aca="false">'Юнит-экономика'!$D$11</f>
        <v>620000</v>
      </c>
      <c r="E118" s="59" t="n">
        <f aca="false">C118-D118</f>
        <v>880000</v>
      </c>
    </row>
    <row r="119" customFormat="false" ht="15" hidden="false" customHeight="false" outlineLevel="0" collapsed="false">
      <c r="B119" s="2" t="s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603</v>
      </c>
    </row>
    <row r="2" customFormat="false" ht="15" hidden="false" customHeight="false" outlineLevel="0" collapsed="false">
      <c r="A2" s="2" t="s">
        <v>604</v>
      </c>
    </row>
    <row r="3" customFormat="false" ht="15" hidden="false" customHeight="false" outlineLevel="0" collapsed="false">
      <c r="B3" s="3" t="s">
        <v>605</v>
      </c>
      <c r="C3" s="3" t="str">
        <f aca="false">IF(COUNTIF(D6:D34,"ОШИБКА")&gt;0,"ЕСТЬ ОШИБКИ",IF(COUNTIF(D6:D34,"НЕТ ДАННЫХ")&gt;0,"ФОРМУЛЫ ОК, НЕ ХВАТАЕТ ДАННЫХ ВЛАДЕЛЬЦА",IF(COUNTIF(D6:D34,"ВНИМАНИЕ")&gt;0,"ФОРМУЛЫ ОК, ЕСТЬ ПРЕДУПРЕЖДЕНИЯ","ВСЁ ОК")))</f>
        <v>ФОРМУЛЫ ОК, НЕ ХВАТАЕТ ДАННЫХ ВЛАДЕЛЬЦА</v>
      </c>
    </row>
    <row r="5" customFormat="false" ht="15" hidden="false" customHeight="false" outlineLevel="0" collapsed="false">
      <c r="A5" s="10" t="s">
        <v>9</v>
      </c>
      <c r="B5" s="10" t="s">
        <v>606</v>
      </c>
      <c r="C5" s="10" t="s">
        <v>607</v>
      </c>
      <c r="D5" s="10" t="s">
        <v>12</v>
      </c>
      <c r="E5" s="10" t="s">
        <v>326</v>
      </c>
    </row>
    <row r="6" customFormat="false" ht="15" hidden="false" customHeight="false" outlineLevel="0" collapsed="false">
      <c r="A6" s="12" t="s">
        <v>608</v>
      </c>
      <c r="B6" s="12" t="s">
        <v>609</v>
      </c>
      <c r="C6" s="72" t="n">
        <f aca="false">SUMPRODUCT(--ISERROR('Входные данные'!E13:G85))</f>
        <v>0</v>
      </c>
      <c r="D6" s="12" t="str">
        <f aca="false">IF(C6=0,"OK","ОШИБКА")</f>
        <v>OK</v>
      </c>
      <c r="E6" s="12"/>
    </row>
    <row r="7" customFormat="false" ht="15" hidden="false" customHeight="false" outlineLevel="0" collapsed="false">
      <c r="A7" s="12" t="s">
        <v>610</v>
      </c>
      <c r="B7" s="12" t="s">
        <v>611</v>
      </c>
      <c r="C7" s="72" t="n">
        <f aca="false">SUMPRODUCT(--ISERROR('Юнит-экономика'!C5:E44))</f>
        <v>0</v>
      </c>
      <c r="D7" s="12" t="str">
        <f aca="false">IF(C7=0,"OK","ОШИБКА")</f>
        <v>OK</v>
      </c>
      <c r="E7" s="12"/>
    </row>
    <row r="8" customFormat="false" ht="15" hidden="false" customHeight="false" outlineLevel="0" collapsed="false">
      <c r="A8" s="12" t="s">
        <v>612</v>
      </c>
      <c r="B8" s="12" t="s">
        <v>613</v>
      </c>
      <c r="C8" s="72" t="n">
        <f aca="false">SUMPRODUCT(--ISERROR(Воронка!C5:E29))</f>
        <v>0</v>
      </c>
      <c r="D8" s="12" t="str">
        <f aca="false">IF(C8=0,"OK","ОШИБКА")</f>
        <v>OK</v>
      </c>
      <c r="E8" s="12"/>
    </row>
    <row r="9" customFormat="false" ht="15" hidden="false" customHeight="false" outlineLevel="0" collapsed="false">
      <c r="A9" s="12" t="s">
        <v>614</v>
      </c>
      <c r="B9" s="12" t="s">
        <v>615</v>
      </c>
      <c r="C9" s="72" t="n">
        <f aca="false">SUMPRODUCT(--ISERROR(Сценарии_BEP!C5:P150))</f>
        <v>0</v>
      </c>
      <c r="D9" s="12" t="str">
        <f aca="false">IF(C9=0,"OK","ОШИБКА")</f>
        <v>OK</v>
      </c>
      <c r="E9" s="12"/>
    </row>
    <row r="10" customFormat="false" ht="15" hidden="false" customHeight="false" outlineLevel="0" collapsed="false">
      <c r="A10" s="12" t="s">
        <v>616</v>
      </c>
      <c r="B10" s="12" t="s">
        <v>617</v>
      </c>
      <c r="C10" s="72" t="n">
        <f aca="false">SUMPRODUCT(--ISERROR(D10_I1!C4:F66))</f>
        <v>0</v>
      </c>
      <c r="D10" s="12" t="str">
        <f aca="false">IF(C10=0,"OK","ОШИБКА")</f>
        <v>OK</v>
      </c>
      <c r="E10" s="12"/>
    </row>
    <row r="11" customFormat="false" ht="15" hidden="false" customHeight="false" outlineLevel="0" collapsed="false">
      <c r="A11" s="12" t="s">
        <v>618</v>
      </c>
      <c r="B11" s="12" t="s">
        <v>619</v>
      </c>
      <c r="C11" s="72" t="n">
        <f aca="false">SUMPRODUCT(--ISERROR(Чувствительность!B4:H123))</f>
        <v>0</v>
      </c>
      <c r="D11" s="12" t="str">
        <f aca="false">IF(C11=0,"OK","ОШИБКА")</f>
        <v>OK</v>
      </c>
      <c r="E11" s="12"/>
    </row>
    <row r="12" customFormat="false" ht="23.85" hidden="false" customHeight="false" outlineLevel="0" collapsed="false">
      <c r="A12" s="12" t="s">
        <v>620</v>
      </c>
      <c r="B12" s="12" t="s">
        <v>621</v>
      </c>
      <c r="C12" s="72" t="n">
        <f aca="false">ABS('Юнит-экономика'!$C$8-'Юнит-экономика'!$C$11-'Юнит-экономика'!$C$22-'Юнит-экономика'!$C$23)+ABS('Юнит-экономика'!$D$8-'Юнит-экономика'!$D$11-'Юнит-экономика'!$D$22-'Юнит-экономика'!$D$23)+ABS('Юнит-экономика'!$E$8-'Юнит-экономика'!$E$11-'Юнит-экономика'!$E$22-'Юнит-экономика'!$E$23)</f>
        <v>0</v>
      </c>
      <c r="D12" s="12" t="str">
        <f aca="false">IF(C12&lt;0.001,"OK","ОШИБКА")</f>
        <v>OK</v>
      </c>
      <c r="E12" s="12"/>
    </row>
    <row r="13" customFormat="false" ht="15" hidden="false" customHeight="false" outlineLevel="0" collapsed="false">
      <c r="A13" s="12" t="s">
        <v>622</v>
      </c>
      <c r="B13" s="12" t="s">
        <v>623</v>
      </c>
      <c r="C13" s="72" t="n">
        <f aca="false">IF(AND(N('Входные данные'!$E$26)=3,'Юнит-экономика'!$C$8&gt;0),ABS('Юнит-экономика'!$C$12-N('Входные данные'!$E$27)),0)+IF(AND(N('Входные данные'!$F$26)=3,'Юнит-экономика'!$D$8&gt;0),ABS('Юнит-экономика'!$D$12-N('Входные данные'!$F$27)),0)+IF(AND(N('Входные данные'!$G$26)=3,'Юнит-экономика'!$E$8&gt;0),ABS('Юнит-экономика'!$E$12-N('Входные данные'!$G$27)),0)</f>
        <v>0</v>
      </c>
      <c r="D13" s="12" t="str">
        <f aca="false">IF(C13&lt;0.001,"OK","ОШИБКА")</f>
        <v>OK</v>
      </c>
      <c r="E13" s="12" t="s">
        <v>624</v>
      </c>
    </row>
    <row r="14" customFormat="false" ht="15" hidden="false" customHeight="false" outlineLevel="0" collapsed="false">
      <c r="A14" s="12" t="s">
        <v>625</v>
      </c>
      <c r="B14" s="12" t="s">
        <v>626</v>
      </c>
      <c r="C14" s="72" t="n">
        <f aca="false">ABS(N('Входные данные'!$F$14)+N('Входные данные'!$F$15)+N('Входные данные'!$F$16)-1)</f>
        <v>0</v>
      </c>
      <c r="D14" s="12" t="str">
        <f aca="false">IF(C14&lt;0.001,"OK","ОШИБКА")</f>
        <v>OK</v>
      </c>
      <c r="E14" s="12"/>
    </row>
    <row r="15" customFormat="false" ht="15" hidden="false" customHeight="false" outlineLevel="0" collapsed="false">
      <c r="A15" s="12" t="s">
        <v>627</v>
      </c>
      <c r="B15" s="12" t="s">
        <v>628</v>
      </c>
      <c r="C15" s="72" t="n">
        <f aca="false">ABS(Воронка!$C$12-N('Входные данные'!$E$55)*N('Входные данные'!$E$57)*N('Входные данные'!$E$58)*N('Входные данные'!$E$59))+ABS(Воронка!$D$12-N('Входные данные'!$F$55)*N('Входные данные'!$F$57)*N('Входные данные'!$F$58)*N('Входные данные'!$F$59))+ABS(Воронка!$E$12-N('Входные данные'!$G$55)*N('Входные данные'!$G$57)*N('Входные данные'!$G$58)*N('Входные данные'!$G$59))</f>
        <v>0</v>
      </c>
      <c r="D15" s="12" t="str">
        <f aca="false">IF(C15&lt;0.001,"OK","ОШИБКА")</f>
        <v>OK</v>
      </c>
      <c r="E15" s="12"/>
    </row>
    <row r="16" customFormat="false" ht="15" hidden="false" customHeight="false" outlineLevel="0" collapsed="false">
      <c r="A16" s="12" t="s">
        <v>629</v>
      </c>
      <c r="B16" s="12" t="s">
        <v>630</v>
      </c>
      <c r="C16" s="72" t="n">
        <f aca="false">ABS(Воронка!$C$21+Воронка!$C$24-Воронка!$C$18)+ABS(Воронка!$D$21+Воронка!$D$24-Воронка!$D$18)+ABS(Воронка!$E$21+Воронка!$E$24-Воронка!$E$18)</f>
        <v>0</v>
      </c>
      <c r="D16" s="12" t="str">
        <f aca="false">IF(C16&lt;0.001,"OK","ОШИБКА")</f>
        <v>OK</v>
      </c>
      <c r="E16" s="12"/>
    </row>
    <row r="17" customFormat="false" ht="23.85" hidden="false" customHeight="false" outlineLevel="0" collapsed="false">
      <c r="A17" s="12" t="s">
        <v>631</v>
      </c>
      <c r="B17" s="12" t="s">
        <v>632</v>
      </c>
      <c r="C17" s="72" t="n">
        <f aca="false">ABS(Воронка!$C$28-(Воронка!$C$22*'Юнит-экономика'!$C$23+Воронка!$C$24*'Юнит-экономика'!$C$27))+ABS(Воронка!$D$28-(Воронка!$D$22*'Юнит-экономика'!$D$23+Воронка!$D$24*'Юнит-экономика'!$D$27))+ABS(Воронка!$E$28-(Воронка!$E$22*'Юнит-экономика'!$E$23+Воронка!$E$24*'Юнит-экономика'!$E$27))</f>
        <v>0</v>
      </c>
      <c r="D17" s="12" t="str">
        <f aca="false">IF(C17&lt;0.001,"OK","ОШИБКА")</f>
        <v>OK</v>
      </c>
      <c r="E17" s="12" t="s">
        <v>633</v>
      </c>
    </row>
    <row r="18" customFormat="false" ht="23.85" hidden="false" customHeight="false" outlineLevel="0" collapsed="false">
      <c r="A18" s="12" t="s">
        <v>634</v>
      </c>
      <c r="B18" s="12" t="s">
        <v>635</v>
      </c>
      <c r="C18" s="72" t="n">
        <f aca="false">ABS(Сценарии_BEP!O91-(Сценарии_BEP!C90+Сценарии_BEP!P86))+ABS(Сценарии_BEP!O92-(Сценарии_BEP!C90+Сценарии_BEP!P87))+ABS(Сценарии_BEP!O117-(Сценарии_BEP!C116+Сценарии_BEP!P112))+ABS(Сценарии_BEP!O118-(Сценарии_BEP!C116+Сценарии_BEP!P113))+ABS(Сценарии_BEP!O143-(Сценарии_BEP!C142+Сценарии_BEP!P138))+ABS(Сценарии_BEP!O144-(Сценарии_BEP!C142+Сценарии_BEP!P139))</f>
        <v>0</v>
      </c>
      <c r="D18" s="12" t="str">
        <f aca="false">IF(C18&lt;0.001,"OK","ОШИБКА")</f>
        <v>OK</v>
      </c>
      <c r="E18" s="12"/>
    </row>
    <row r="19" customFormat="false" ht="23.85" hidden="false" customHeight="false" outlineLevel="0" collapsed="false">
      <c r="A19" s="12" t="s">
        <v>636</v>
      </c>
      <c r="B19" s="12" t="s">
        <v>637</v>
      </c>
      <c r="C19" s="72" t="n">
        <f aca="false">IF(N('Входные данные'!$F$60)&gt;12,0,IF(OR(N('Входные данные'!$E$37)=1,N('Входные данные'!$E$42)&lt;12),ABS(Сценарии_BEP!O78+Сценарии_BEP!O80-(Воронка!$C$22+Воронка!$C$24)),0)+IF(OR(N('Входные данные'!$F$37)=1,N('Входные данные'!$F$42)&lt;12),ABS(Сценарии_BEP!O104+Сценарии_BEP!O106-(Воронка!$D$22+Воронка!$D$24)),0)+IF(OR(N('Входные данные'!$G$37)=1,N('Входные данные'!$G$42)&lt;12),ABS(Сценарии_BEP!O130+Сценарии_BEP!O132-(Воронка!$E$22+Воронка!$E$24)),0))</f>
        <v>0</v>
      </c>
      <c r="D19" s="12" t="str">
        <f aca="false">IF(C19&lt;0.001,"OK","ОШИБКА")</f>
        <v>OK</v>
      </c>
      <c r="E19" s="12" t="s">
        <v>638</v>
      </c>
    </row>
    <row r="20" customFormat="false" ht="23.85" hidden="false" customHeight="false" outlineLevel="0" collapsed="false">
      <c r="A20" s="12" t="s">
        <v>639</v>
      </c>
      <c r="B20" s="12" t="s">
        <v>640</v>
      </c>
      <c r="C20" s="72" t="n">
        <f aca="false">ABS(INDEX(D10_I1!C15:F15,1,(N('Входные данные'!$E$37)-1)*2+N('Входные данные'!$E$38))-Сценарии_BEP!$C$45)+ABS(INDEX(D10_I1!C33:F33,1,(N('Входные данные'!$F$37)-1)*2+N('Входные данные'!$F$38))-Сценарии_BEP!$D$45)+ABS(INDEX(D10_I1!C51:F51,1,(N('Входные данные'!$G$37)-1)*2+N('Входные данные'!$G$38))-Сценарии_BEP!$E$45)</f>
        <v>0</v>
      </c>
      <c r="D20" s="12" t="str">
        <f aca="false">IF(C20&lt;0.001,"OK","ОШИБКА")</f>
        <v>OK</v>
      </c>
      <c r="E20" s="12"/>
    </row>
    <row r="21" customFormat="false" ht="15" hidden="false" customHeight="false" outlineLevel="0" collapsed="false">
      <c r="A21" s="12" t="s">
        <v>641</v>
      </c>
      <c r="B21" s="12" t="s">
        <v>642</v>
      </c>
      <c r="C21" s="72" t="n">
        <f aca="false">IF(AND(MIN('Входные данные'!E44:G44)&gt;=0,MAX('Входные данные'!E44:G44)&lt;=1,MIN('Входные данные'!E45:G45)&gt;=0,MAX('Входные данные'!E45:G45)&lt;=1,MIN('Входные данные'!E46:G46)&gt;=0,MAX('Входные данные'!E46:G46)&lt;=1,MIN('Входные данные'!E40:G40)&gt;=0,MAX('Входные данные'!E40:G40)&lt;=1,MIN('Входные данные'!E41:G41)&gt;=0,MAX('Входные данные'!E41:G41)&lt;=1,MIN('Входные данные'!E47:G47)&gt;=0,MAX('Входные данные'!E47:G47)&lt;=1,MIN('Входные данные'!E49:G49)&gt;=0,MAX('Входные данные'!E49:G49)&lt;=1,MIN('Входные данные'!E57:G57)&gt;=0,MAX('Входные данные'!E57:G57)&lt;=1,MIN('Входные данные'!E58:G58)&gt;=0,MAX('Входные данные'!E58:G58)&lt;=1,MIN('Входные данные'!E59:G59)&gt;=0,MAX('Входные данные'!E59:G59)&lt;=1,MIN('Входные данные'!E75:G75)&gt;=0,MAX('Входные данные'!E75:G75)&lt;=1,MIN('Входные данные'!E76:G76)&gt;=0,MAX('Входные данные'!E76:G76)&lt;=1,MIN('Входные данные'!E77:G77)&gt;=0,MAX('Входные данные'!E77:G77)&lt;=1,MIN('Входные данные'!E14:G14)&gt;=0,MAX('Входные данные'!E14:G14)&lt;=1,MIN('Входные данные'!E15:G15)&gt;=0,MAX('Входные данные'!E15:G15)&lt;=1,MIN('Входные данные'!E16:G16)&gt;=0,MAX('Входные данные'!E16:G16)&lt;=1),0,1)</f>
        <v>0</v>
      </c>
      <c r="D21" s="12" t="str">
        <f aca="false">IF(C21=0,"OK","ОШИБКА")</f>
        <v>OK</v>
      </c>
      <c r="E21" s="12"/>
    </row>
    <row r="22" customFormat="false" ht="23.85" hidden="false" customHeight="false" outlineLevel="0" collapsed="false">
      <c r="A22" s="12" t="s">
        <v>643</v>
      </c>
      <c r="B22" s="12" t="s">
        <v>644</v>
      </c>
      <c r="C22" s="72" t="n">
        <f aca="false">IF(AND(OR('Входные данные'!F26=1,'Входные данные'!F26=2,'Входные данные'!F26=3),OR('Входные данные'!F37=1,'Входные данные'!F37=2),OR('Входные данные'!F38=1,'Входные данные'!F38=2),OR(N('Входные данные'!F65)=0,N('Входные данные'!F65)=1,N('Входные данные'!F65)=2,N('Входные данные'!F65)=3),OR('Входные данные'!F70=1,'Входные данные'!F70=2,'Входные данные'!F70=3),OR(N('Входные данные'!F22)=0,N('Входные данные'!F22)=1),OR(N('Входные данные'!F39)=0,N('Входные данные'!F39)=1)),0,1)</f>
        <v>0</v>
      </c>
      <c r="D22" s="12" t="str">
        <f aca="false">IF(C22=0,"OK","ОШИБКА")</f>
        <v>OK</v>
      </c>
      <c r="E22" s="12"/>
    </row>
    <row r="23" customFormat="false" ht="15" hidden="false" customHeight="false" outlineLevel="0" collapsed="false">
      <c r="A23" s="12" t="s">
        <v>645</v>
      </c>
      <c r="B23" s="12" t="s">
        <v>646</v>
      </c>
      <c r="C23" s="72" t="n">
        <f aca="false">IF(AND('Входные данные'!F26=2,'Юнит-экономика'!$D$9=0),1,0)</f>
        <v>0</v>
      </c>
      <c r="D23" s="12" t="str">
        <f aca="false">IF(C23=0,"OK","ОШИБКА")</f>
        <v>OK</v>
      </c>
      <c r="E23" s="12"/>
    </row>
    <row r="24" customFormat="false" ht="15" hidden="false" customHeight="false" outlineLevel="0" collapsed="false">
      <c r="A24" s="12" t="s">
        <v>647</v>
      </c>
      <c r="B24" s="12" t="s">
        <v>648</v>
      </c>
      <c r="C24" s="72" t="n">
        <f aca="false">IF('Входные данные'!F35="",1,0)+IF('Входные данные'!F45="",1,0)+IF('Входные данные'!F56="",1,0)</f>
        <v>3</v>
      </c>
      <c r="D24" s="12" t="str">
        <f aca="false">IF(C24=0,"OK","НЕТ ДАННЫХ")</f>
        <v>НЕТ ДАННЫХ</v>
      </c>
      <c r="E24" s="12" t="s">
        <v>649</v>
      </c>
    </row>
    <row r="25" customFormat="false" ht="15" hidden="false" customHeight="false" outlineLevel="0" collapsed="false">
      <c r="A25" s="12" t="s">
        <v>650</v>
      </c>
      <c r="B25" s="12" t="s">
        <v>651</v>
      </c>
      <c r="C25" s="72" t="n">
        <f aca="false">IF(N('Входные данные'!F65)=0,1,0)</f>
        <v>0</v>
      </c>
      <c r="D25" s="12" t="str">
        <f aca="false">IF(C25=0,"OK","НЕТ ДАННЫХ")</f>
        <v>OK</v>
      </c>
      <c r="E25" s="12"/>
    </row>
    <row r="26" customFormat="false" ht="15" hidden="false" customHeight="false" outlineLevel="0" collapsed="false">
      <c r="A26" s="12" t="s">
        <v>652</v>
      </c>
      <c r="B26" s="12" t="s">
        <v>653</v>
      </c>
      <c r="C26" s="72" t="n">
        <f aca="false">IF(AND(N('Входные данные'!F65)&gt;0,N('Входные данные'!F66)&lt;=0),1,0)</f>
        <v>0</v>
      </c>
      <c r="D26" s="12" t="str">
        <f aca="false">IF(C26=0,"OK","НЕТ ДАННЫХ")</f>
        <v>OK</v>
      </c>
      <c r="E26" s="12"/>
    </row>
    <row r="27" customFormat="false" ht="15" hidden="false" customHeight="false" outlineLevel="0" collapsed="false">
      <c r="A27" s="12" t="s">
        <v>654</v>
      </c>
      <c r="B27" s="12" t="s">
        <v>655</v>
      </c>
      <c r="C27" s="72" t="n">
        <f aca="false">IF(AND(N('Входные данные'!F72)=0,N('Входные данные'!F73)=0,N('Входные данные'!F74)=0),1,0)</f>
        <v>0</v>
      </c>
      <c r="D27" s="12" t="str">
        <f aca="false">IF(C27=0,"OK","НЕТ ДАННЫХ")</f>
        <v>OK</v>
      </c>
      <c r="E27" s="12"/>
    </row>
    <row r="28" customFormat="false" ht="15" hidden="false" customHeight="false" outlineLevel="0" collapsed="false">
      <c r="A28" s="12" t="s">
        <v>656</v>
      </c>
      <c r="B28" s="12" t="s">
        <v>657</v>
      </c>
      <c r="C28" s="72" t="n">
        <f aca="false">IF(Сценарии_BEP!$D$29&lt;=0,1,0)</f>
        <v>0</v>
      </c>
      <c r="D28" s="12" t="str">
        <f aca="false">IF(C28=0,"OK","НЕТ ДАННЫХ")</f>
        <v>OK</v>
      </c>
      <c r="E28" s="12"/>
    </row>
    <row r="29" customFormat="false" ht="15" hidden="false" customHeight="false" outlineLevel="0" collapsed="false">
      <c r="A29" s="12" t="s">
        <v>658</v>
      </c>
      <c r="B29" s="12" t="s">
        <v>659</v>
      </c>
      <c r="C29" s="72" t="n">
        <f aca="false">IF(LEFT('Входные данные'!D55,10)="[заглушка]",1,0)</f>
        <v>1</v>
      </c>
      <c r="D29" s="12" t="str">
        <f aca="false">IF(C29=0,"OK","ВНИМАНИЕ")</f>
        <v>ВНИМАНИЕ</v>
      </c>
      <c r="E29" s="12" t="s">
        <v>660</v>
      </c>
    </row>
    <row r="30" customFormat="false" ht="15" hidden="false" customHeight="false" outlineLevel="0" collapsed="false">
      <c r="A30" s="12" t="s">
        <v>661</v>
      </c>
      <c r="B30" s="12" t="s">
        <v>662</v>
      </c>
      <c r="C30" s="72" t="n">
        <f aca="false">IF(AND('Входные данные'!E58='Входные данные'!F58,'Входные данные'!F58='Входные данные'!G58),1,0)</f>
        <v>1</v>
      </c>
      <c r="D30" s="12" t="str">
        <f aca="false">IF(C30=0,"OK","ВНИМАНИЕ")</f>
        <v>ВНИМАНИЕ</v>
      </c>
      <c r="E30" s="12" t="s">
        <v>663</v>
      </c>
    </row>
    <row r="31" customFormat="false" ht="23.85" hidden="false" customHeight="false" outlineLevel="0" collapsed="false">
      <c r="A31" s="12" t="s">
        <v>664</v>
      </c>
      <c r="B31" s="12" t="s">
        <v>665</v>
      </c>
      <c r="C31" s="72" t="n">
        <f aca="false">IF(ABS('Юнит-экономика'!$D$16)&gt;0.05*'Юнит-экономика'!$D$10,1,0)</f>
        <v>1</v>
      </c>
      <c r="D31" s="12" t="str">
        <f aca="false">IF(C31=0,"OK","ВНИМАНИЕ")</f>
        <v>ВНИМАНИЕ</v>
      </c>
      <c r="E31" s="12" t="s">
        <v>666</v>
      </c>
    </row>
    <row r="32" customFormat="false" ht="15" hidden="false" customHeight="false" outlineLevel="0" collapsed="false">
      <c r="A32" s="12" t="s">
        <v>667</v>
      </c>
      <c r="B32" s="12" t="s">
        <v>668</v>
      </c>
      <c r="C32" s="72" t="n">
        <f aca="false">IF(Воронка!$C$23&gt;0.0001,1,0)+IF(Воронка!$D$23&gt;0.0001,1,0)+IF(Воронка!$E$23&gt;0.0001,1,0)</f>
        <v>0</v>
      </c>
      <c r="D32" s="12" t="str">
        <f aca="false">IF(C32=0,"OK","ВНИМАНИЕ")</f>
        <v>OK</v>
      </c>
      <c r="E32" s="12" t="s">
        <v>669</v>
      </c>
    </row>
    <row r="33" customFormat="false" ht="23.85" hidden="false" customHeight="false" outlineLevel="0" collapsed="false">
      <c r="A33" s="12" t="s">
        <v>670</v>
      </c>
      <c r="B33" s="12" t="s">
        <v>671</v>
      </c>
      <c r="C33" s="72" t="n">
        <f aca="false">IF(AND('Входные данные'!F37=2,'Входные данные'!F38=1),1,0)</f>
        <v>1</v>
      </c>
      <c r="D33" s="12" t="str">
        <f aca="false">IF(C33=0,"OK","ВНИМАНИЕ")</f>
        <v>ВНИМАНИЕ</v>
      </c>
      <c r="E33" s="12" t="s">
        <v>672</v>
      </c>
    </row>
    <row r="34" customFormat="false" ht="15" hidden="false" customHeight="false" outlineLevel="0" collapsed="false">
      <c r="A34" s="12" t="s">
        <v>673</v>
      </c>
      <c r="B34" s="12" t="s">
        <v>674</v>
      </c>
      <c r="C34" s="72" t="n">
        <f aca="false">IF(AND('Входные данные'!F75&gt;=1,'Входные данные'!F76&gt;=1),1,0)</f>
        <v>1</v>
      </c>
      <c r="D34" s="12" t="str">
        <f aca="false">IF(C34=0,"OK","ВНИМАНИЕ")</f>
        <v>ВНИМАНИЕ</v>
      </c>
      <c r="E34" s="12" t="s">
        <v>675</v>
      </c>
    </row>
    <row r="36" customFormat="false" ht="15" hidden="false" customHeight="false" outlineLevel="0" collapsed="false">
      <c r="B36" s="73" t="s">
        <v>676</v>
      </c>
    </row>
    <row r="37" customFormat="false" ht="15" hidden="false" customHeight="false" outlineLevel="0" collapsed="false">
      <c r="B37" s="74" t="s">
        <v>677</v>
      </c>
      <c r="C37" s="74" t="n">
        <f aca="false">SUMPRODUCT(--(LEFT('Входные данные'!D13:D85,6)="[факт]"))</f>
        <v>43</v>
      </c>
    </row>
    <row r="38" customFormat="false" ht="15" hidden="false" customHeight="false" outlineLevel="0" collapsed="false">
      <c r="B38" s="74" t="s">
        <v>678</v>
      </c>
      <c r="C38" s="74" t="n">
        <f aca="false">SUMPRODUCT(--(LEFT('Входные данные'!D13:D85,10)="[гипотеза]"))</f>
        <v>12</v>
      </c>
    </row>
    <row r="39" customFormat="false" ht="15" hidden="false" customHeight="false" outlineLevel="0" collapsed="false">
      <c r="B39" s="74" t="s">
        <v>147</v>
      </c>
      <c r="C39" s="74" t="n">
        <f aca="false">SUMPRODUCT(--(LEFT('Входные данные'!D13:D85,10)="[заглушка]"))</f>
        <v>2</v>
      </c>
    </row>
    <row r="40" customFormat="false" ht="15" hidden="false" customHeight="false" outlineLevel="0" collapsed="false">
      <c r="B40" s="74" t="s">
        <v>102</v>
      </c>
      <c r="C40" s="74" t="n">
        <f aca="false">SUMPRODUCT(--(LEFT('Входные данные'!D13:D85,15)="нужно от Темура"))</f>
        <v>3</v>
      </c>
    </row>
    <row r="41" customFormat="false" ht="15" hidden="false" customHeight="false" outlineLevel="0" collapsed="false">
      <c r="B41" s="74" t="s">
        <v>70</v>
      </c>
      <c r="C41" s="74" t="n">
        <f aca="false">SUMPRODUCT(--(LEFT('Входные данные'!D13:D85,7)="[выбор]"))</f>
        <v>4</v>
      </c>
    </row>
    <row r="42" customFormat="false" ht="15" hidden="false" customHeight="false" outlineLevel="0" collapsed="false">
      <c r="B42" s="75" t="s">
        <v>679</v>
      </c>
      <c r="C42" s="75" t="n">
        <f aca="false">SUM(C37:C41)</f>
        <v>64</v>
      </c>
      <c r="D42" s="75" t="str">
        <f aca="false">IF(C42=64,"OK","ОШИБКА")</f>
        <v>OK</v>
      </c>
      <c r="E42" s="76" t="s">
        <v>680</v>
      </c>
    </row>
    <row r="43" customFormat="false" ht="15" hidden="false" customHeight="false" outlineLevel="0" collapsed="false">
      <c r="B43" s="74" t="s">
        <v>681</v>
      </c>
      <c r="C43" s="74" t="n">
        <f aca="false">IF(LEFT('Входные данные'!D55,6)="[факт]",1,0)+IF(LEFT('Входные данные'!D57,6)="[факт]",1,0)+IF(LEFT('Входные данные'!D58,6)="[факт]",1,0)+IF(LEFT('Входные данные'!D59,6)="[факт]",1,0)+IF(LEFT('Входные данные'!D27,6)="[факт]",1,0)</f>
        <v>1</v>
      </c>
      <c r="E43" s="76" t="s">
        <v>682</v>
      </c>
    </row>
    <row r="45" customFormat="false" ht="15" hidden="false" customHeight="false" outlineLevel="0" collapsed="false">
      <c r="B45" s="73" t="s">
        <v>683</v>
      </c>
    </row>
    <row r="46" customFormat="false" ht="15" hidden="false" customHeight="false" outlineLevel="0" collapsed="false">
      <c r="A46" s="10" t="s">
        <v>9</v>
      </c>
      <c r="B46" s="10" t="s">
        <v>684</v>
      </c>
      <c r="C46" s="10" t="s">
        <v>685</v>
      </c>
      <c r="D46" s="10" t="s">
        <v>686</v>
      </c>
      <c r="E46" s="10" t="s">
        <v>687</v>
      </c>
    </row>
    <row r="47" customFormat="false" ht="23.85" hidden="false" customHeight="false" outlineLevel="0" collapsed="false">
      <c r="A47" s="12" t="s">
        <v>688</v>
      </c>
      <c r="B47" s="12" t="s">
        <v>689</v>
      </c>
      <c r="C47" s="12" t="n">
        <v>0</v>
      </c>
      <c r="D47" s="12" t="s">
        <v>690</v>
      </c>
      <c r="E47" s="12" t="s">
        <v>691</v>
      </c>
    </row>
    <row r="48" customFormat="false" ht="23.85" hidden="false" customHeight="false" outlineLevel="0" collapsed="false">
      <c r="A48" s="12" t="s">
        <v>692</v>
      </c>
      <c r="B48" s="12" t="s">
        <v>693</v>
      </c>
      <c r="C48" s="12" t="n">
        <v>0</v>
      </c>
      <c r="D48" s="12" t="s">
        <v>690</v>
      </c>
      <c r="E48" s="12" t="s">
        <v>694</v>
      </c>
    </row>
    <row r="49" customFormat="false" ht="23.85" hidden="false" customHeight="false" outlineLevel="0" collapsed="false">
      <c r="A49" s="12" t="s">
        <v>695</v>
      </c>
      <c r="B49" s="12" t="s">
        <v>696</v>
      </c>
      <c r="C49" s="12" t="n">
        <v>0</v>
      </c>
      <c r="D49" s="12" t="s">
        <v>690</v>
      </c>
      <c r="E49" s="12" t="s">
        <v>697</v>
      </c>
    </row>
    <row r="50" customFormat="false" ht="23.85" hidden="false" customHeight="false" outlineLevel="0" collapsed="false">
      <c r="A50" s="12" t="s">
        <v>698</v>
      </c>
      <c r="B50" s="12" t="s">
        <v>699</v>
      </c>
      <c r="C50" s="12" t="n">
        <v>0</v>
      </c>
      <c r="D50" s="12" t="s">
        <v>690</v>
      </c>
      <c r="E50" s="12" t="s">
        <v>697</v>
      </c>
    </row>
    <row r="51" customFormat="false" ht="23.85" hidden="false" customHeight="false" outlineLevel="0" collapsed="false">
      <c r="A51" s="12" t="s">
        <v>700</v>
      </c>
      <c r="B51" s="12" t="s">
        <v>701</v>
      </c>
      <c r="C51" s="12" t="n">
        <v>0</v>
      </c>
      <c r="D51" s="12" t="s">
        <v>690</v>
      </c>
      <c r="E51" s="12" t="s">
        <v>691</v>
      </c>
    </row>
    <row r="52" customFormat="false" ht="23.85" hidden="false" customHeight="false" outlineLevel="0" collapsed="false">
      <c r="A52" s="12" t="s">
        <v>702</v>
      </c>
      <c r="B52" s="12" t="s">
        <v>703</v>
      </c>
      <c r="C52" s="12" t="n">
        <v>0</v>
      </c>
      <c r="D52" s="12" t="s">
        <v>690</v>
      </c>
      <c r="E52" s="12" t="s">
        <v>704</v>
      </c>
    </row>
    <row r="53" customFormat="false" ht="23.85" hidden="false" customHeight="false" outlineLevel="0" collapsed="false">
      <c r="A53" s="12" t="s">
        <v>705</v>
      </c>
      <c r="B53" s="12" t="s">
        <v>706</v>
      </c>
      <c r="C53" s="12" t="n">
        <v>0</v>
      </c>
      <c r="D53" s="12" t="s">
        <v>690</v>
      </c>
      <c r="E53" s="12" t="s">
        <v>707</v>
      </c>
    </row>
    <row r="54" customFormat="false" ht="23.85" hidden="false" customHeight="false" outlineLevel="0" collapsed="false">
      <c r="A54" s="12" t="s">
        <v>708</v>
      </c>
      <c r="B54" s="12" t="s">
        <v>709</v>
      </c>
      <c r="C54" s="12" t="n">
        <v>0</v>
      </c>
      <c r="D54" s="12" t="s">
        <v>690</v>
      </c>
      <c r="E54" s="12" t="s">
        <v>710</v>
      </c>
    </row>
    <row r="55" customFormat="false" ht="23.85" hidden="false" customHeight="false" outlineLevel="0" collapsed="false">
      <c r="A55" s="12" t="s">
        <v>711</v>
      </c>
      <c r="B55" s="12" t="s">
        <v>712</v>
      </c>
      <c r="C55" s="12" t="n">
        <v>0</v>
      </c>
      <c r="D55" s="12" t="s">
        <v>690</v>
      </c>
      <c r="E55" s="12" t="s">
        <v>691</v>
      </c>
    </row>
    <row r="56" customFormat="false" ht="23.85" hidden="false" customHeight="false" outlineLevel="0" collapsed="false">
      <c r="A56" s="12" t="s">
        <v>713</v>
      </c>
      <c r="B56" s="12" t="s">
        <v>714</v>
      </c>
      <c r="C56" s="12" t="n">
        <v>0</v>
      </c>
      <c r="D56" s="12" t="s">
        <v>690</v>
      </c>
      <c r="E56" s="12" t="s">
        <v>691</v>
      </c>
    </row>
    <row r="57" customFormat="false" ht="23.85" hidden="false" customHeight="false" outlineLevel="0" collapsed="false">
      <c r="A57" s="12" t="s">
        <v>715</v>
      </c>
      <c r="B57" s="12" t="s">
        <v>716</v>
      </c>
      <c r="C57" s="12" t="n">
        <v>0</v>
      </c>
      <c r="D57" s="12" t="s">
        <v>690</v>
      </c>
      <c r="E57" s="12" t="s">
        <v>717</v>
      </c>
    </row>
    <row r="58" customFormat="false" ht="23.85" hidden="false" customHeight="false" outlineLevel="0" collapsed="false">
      <c r="A58" s="12" t="s">
        <v>718</v>
      </c>
      <c r="B58" s="12" t="s">
        <v>719</v>
      </c>
      <c r="C58" s="12" t="n">
        <v>0</v>
      </c>
      <c r="D58" s="12" t="s">
        <v>690</v>
      </c>
      <c r="E58" s="12" t="s">
        <v>720</v>
      </c>
    </row>
    <row r="59" customFormat="false" ht="23.85" hidden="false" customHeight="false" outlineLevel="0" collapsed="false">
      <c r="A59" s="12" t="s">
        <v>721</v>
      </c>
      <c r="B59" s="12" t="s">
        <v>722</v>
      </c>
      <c r="C59" s="12" t="n">
        <v>0</v>
      </c>
      <c r="D59" s="12" t="s">
        <v>690</v>
      </c>
      <c r="E59" s="12" t="s">
        <v>723</v>
      </c>
    </row>
    <row r="60" customFormat="false" ht="23.85" hidden="false" customHeight="false" outlineLevel="0" collapsed="false">
      <c r="A60" s="12" t="s">
        <v>724</v>
      </c>
      <c r="B60" s="12" t="s">
        <v>725</v>
      </c>
      <c r="C60" s="12" t="n">
        <v>0</v>
      </c>
      <c r="D60" s="12" t="s">
        <v>690</v>
      </c>
      <c r="E60" s="12" t="s">
        <v>726</v>
      </c>
    </row>
    <row r="61" customFormat="false" ht="23.85" hidden="false" customHeight="false" outlineLevel="0" collapsed="false">
      <c r="A61" s="12" t="s">
        <v>727</v>
      </c>
      <c r="B61" s="12" t="s">
        <v>728</v>
      </c>
      <c r="C61" s="12" t="n">
        <v>0</v>
      </c>
      <c r="D61" s="12" t="s">
        <v>690</v>
      </c>
      <c r="E61" s="12" t="s">
        <v>729</v>
      </c>
    </row>
    <row r="62" customFormat="false" ht="23.85" hidden="false" customHeight="false" outlineLevel="0" collapsed="false">
      <c r="A62" s="12" t="s">
        <v>730</v>
      </c>
      <c r="B62" s="12" t="s">
        <v>731</v>
      </c>
      <c r="C62" s="12" t="n">
        <v>0</v>
      </c>
      <c r="D62" s="12" t="s">
        <v>690</v>
      </c>
      <c r="E62" s="12" t="s">
        <v>732</v>
      </c>
    </row>
    <row r="63" customFormat="false" ht="23.85" hidden="false" customHeight="false" outlineLevel="0" collapsed="false">
      <c r="A63" s="12" t="s">
        <v>733</v>
      </c>
      <c r="B63" s="12" t="s">
        <v>734</v>
      </c>
      <c r="C63" s="12" t="n">
        <v>0</v>
      </c>
      <c r="D63" s="12" t="s">
        <v>690</v>
      </c>
      <c r="E63" s="12" t="s">
        <v>691</v>
      </c>
    </row>
    <row r="64" customFormat="false" ht="23.85" hidden="false" customHeight="false" outlineLevel="0" collapsed="false">
      <c r="A64" s="12" t="s">
        <v>735</v>
      </c>
      <c r="B64" s="12" t="s">
        <v>736</v>
      </c>
      <c r="C64" s="12" t="n">
        <v>0</v>
      </c>
      <c r="D64" s="12" t="s">
        <v>690</v>
      </c>
      <c r="E64" s="12" t="s">
        <v>691</v>
      </c>
    </row>
    <row r="65" customFormat="false" ht="23.85" hidden="false" customHeight="false" outlineLevel="0" collapsed="false">
      <c r="A65" s="12" t="s">
        <v>737</v>
      </c>
      <c r="B65" s="12" t="s">
        <v>738</v>
      </c>
      <c r="C65" s="12" t="n">
        <v>0</v>
      </c>
      <c r="D65" s="12" t="s">
        <v>690</v>
      </c>
      <c r="E65" s="12" t="s">
        <v>739</v>
      </c>
    </row>
    <row r="66" customFormat="false" ht="23.85" hidden="false" customHeight="false" outlineLevel="0" collapsed="false">
      <c r="A66" s="12" t="s">
        <v>740</v>
      </c>
      <c r="B66" s="12" t="s">
        <v>741</v>
      </c>
      <c r="C66" s="12" t="n">
        <v>0</v>
      </c>
      <c r="D66" s="12" t="s">
        <v>690</v>
      </c>
      <c r="E66" s="12" t="s">
        <v>691</v>
      </c>
    </row>
    <row r="67" customFormat="false" ht="23.85" hidden="false" customHeight="false" outlineLevel="0" collapsed="false">
      <c r="A67" s="12" t="s">
        <v>742</v>
      </c>
      <c r="B67" s="12" t="s">
        <v>743</v>
      </c>
      <c r="C67" s="12" t="n">
        <v>0</v>
      </c>
      <c r="D67" s="12" t="s">
        <v>690</v>
      </c>
      <c r="E67" s="12" t="s">
        <v>744</v>
      </c>
    </row>
    <row r="68" customFormat="false" ht="23.85" hidden="false" customHeight="false" outlineLevel="0" collapsed="false">
      <c r="A68" s="12" t="s">
        <v>745</v>
      </c>
      <c r="B68" s="12" t="s">
        <v>746</v>
      </c>
      <c r="C68" s="12" t="n">
        <v>0</v>
      </c>
      <c r="D68" s="12" t="s">
        <v>690</v>
      </c>
      <c r="E68" s="12" t="s">
        <v>691</v>
      </c>
    </row>
    <row r="69" customFormat="false" ht="23.85" hidden="false" customHeight="false" outlineLevel="0" collapsed="false">
      <c r="A69" s="12" t="s">
        <v>747</v>
      </c>
      <c r="B69" s="12" t="s">
        <v>748</v>
      </c>
      <c r="C69" s="12" t="n">
        <v>0</v>
      </c>
      <c r="D69" s="12" t="s">
        <v>690</v>
      </c>
      <c r="E69" s="12" t="s">
        <v>694</v>
      </c>
    </row>
    <row r="70" customFormat="false" ht="23.85" hidden="false" customHeight="false" outlineLevel="0" collapsed="false">
      <c r="A70" s="12" t="s">
        <v>749</v>
      </c>
      <c r="B70" s="12" t="s">
        <v>750</v>
      </c>
      <c r="C70" s="12" t="n">
        <v>0</v>
      </c>
      <c r="D70" s="12" t="s">
        <v>690</v>
      </c>
      <c r="E70" s="12" t="s">
        <v>691</v>
      </c>
    </row>
    <row r="71" customFormat="false" ht="23.85" hidden="false" customHeight="false" outlineLevel="0" collapsed="false">
      <c r="A71" s="12" t="s">
        <v>751</v>
      </c>
      <c r="B71" s="12" t="s">
        <v>752</v>
      </c>
      <c r="C71" s="12" t="n">
        <v>0</v>
      </c>
      <c r="D71" s="12" t="s">
        <v>690</v>
      </c>
      <c r="E71" s="12" t="s">
        <v>753</v>
      </c>
    </row>
    <row r="72" customFormat="false" ht="23.85" hidden="false" customHeight="false" outlineLevel="0" collapsed="false">
      <c r="A72" s="12" t="s">
        <v>754</v>
      </c>
      <c r="B72" s="12" t="s">
        <v>755</v>
      </c>
      <c r="C72" s="12" t="n">
        <v>0</v>
      </c>
      <c r="D72" s="12" t="s">
        <v>690</v>
      </c>
      <c r="E72" s="12" t="s">
        <v>756</v>
      </c>
    </row>
    <row r="73" customFormat="false" ht="23.85" hidden="false" customHeight="false" outlineLevel="0" collapsed="false">
      <c r="A73" s="12" t="s">
        <v>757</v>
      </c>
      <c r="B73" s="12" t="s">
        <v>758</v>
      </c>
      <c r="C73" s="12" t="n">
        <v>0</v>
      </c>
      <c r="D73" s="12" t="s">
        <v>690</v>
      </c>
      <c r="E73" s="12" t="s">
        <v>691</v>
      </c>
    </row>
    <row r="74" customFormat="false" ht="23.85" hidden="false" customHeight="false" outlineLevel="0" collapsed="false">
      <c r="A74" s="12" t="s">
        <v>759</v>
      </c>
      <c r="B74" s="12" t="s">
        <v>760</v>
      </c>
      <c r="C74" s="12" t="n">
        <v>0</v>
      </c>
      <c r="D74" s="12" t="s">
        <v>690</v>
      </c>
      <c r="E74" s="12" t="s">
        <v>691</v>
      </c>
    </row>
    <row r="75" customFormat="false" ht="23.85" hidden="false" customHeight="false" outlineLevel="0" collapsed="false">
      <c r="A75" s="12" t="s">
        <v>761</v>
      </c>
      <c r="B75" s="12" t="s">
        <v>762</v>
      </c>
      <c r="C75" s="12" t="n">
        <v>0</v>
      </c>
      <c r="D75" s="12" t="s">
        <v>690</v>
      </c>
      <c r="E75" s="12" t="s">
        <v>717</v>
      </c>
    </row>
    <row r="76" customFormat="false" ht="23.85" hidden="false" customHeight="false" outlineLevel="0" collapsed="false">
      <c r="A76" s="12" t="s">
        <v>763</v>
      </c>
      <c r="B76" s="12" t="s">
        <v>764</v>
      </c>
      <c r="C76" s="12" t="n">
        <v>0</v>
      </c>
      <c r="D76" s="12" t="s">
        <v>690</v>
      </c>
      <c r="E76" s="12" t="s">
        <v>765</v>
      </c>
    </row>
    <row r="77" customFormat="false" ht="23.85" hidden="false" customHeight="false" outlineLevel="0" collapsed="false">
      <c r="A77" s="12" t="s">
        <v>766</v>
      </c>
      <c r="B77" s="12" t="s">
        <v>767</v>
      </c>
      <c r="C77" s="12" t="n">
        <v>0</v>
      </c>
      <c r="D77" s="12" t="s">
        <v>690</v>
      </c>
      <c r="E77" s="12" t="s">
        <v>704</v>
      </c>
    </row>
  </sheetData>
  <conditionalFormatting sqref="D6:D34">
    <cfRule type="expression" priority="2" aboveAverage="0" equalAverage="0" bottom="0" percent="0" rank="0" text="" dxfId="0">
      <formula>D6="OK"</formula>
    </cfRule>
    <cfRule type="expression" priority="3" aboveAverage="0" equalAverage="0" bottom="0" percent="0" rank="0" text="" dxfId="1">
      <formula>D6="ОШИБКА"</formula>
    </cfRule>
    <cfRule type="expression" priority="4" aboveAverage="0" equalAverage="0" bottom="0" percent="0" rank="0" text="" dxfId="2">
      <formula>D6="НЕТ ДАННЫХ"</formula>
    </cfRule>
    <cfRule type="expression" priority="5" aboveAverage="0" equalAverage="0" bottom="0" percent="0" rank="0" text="" dxfId="3">
      <formula>D6="ВНИМАНИЕ"</formula>
    </cfRule>
  </conditionalFormatting>
  <conditionalFormatting sqref="D42">
    <cfRule type="expression" priority="6" aboveAverage="0" equalAverage="0" bottom="0" percent="0" rank="0" text="" dxfId="0">
      <formula>D42="OK"</formula>
    </cfRule>
    <cfRule type="expression" priority="7" aboveAverage="0" equalAverage="0" bottom="0" percent="0" rank="0" text="" dxfId="1">
      <formula>D42="ОШИБКА"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2026-10-18T16:56:29Z</dcterms:created>
  <dc:creator>openpyxl</dc:creator>
  <dc:description/>
  <dc:language>en-US</dc:language>
  <cp:lastModifiedBy/>
  <dcterms:modified xsi:type="dcterms:W3CDTF">2026-10-18T21:56:31Z</dcterms:modified>
  <cp:revision>1</cp:revision>
  <dc:subject/>
  <dc:title>Модель этапа 1 HomePrice.uz v0.2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