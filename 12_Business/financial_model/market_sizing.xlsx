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Данные" sheetId="2" state="visible" r:id="rId4"/>
    <sheet name="Допущения" sheetId="3" state="visible" r:id="rId5"/>
    <sheet name="СверхуВниз" sheetId="4" state="visible" r:id="rId6"/>
    <sheet name="СнизуВверх" sheetId="5" state="visible" r:id="rId7"/>
    <sheet name="Сценарии" sheetId="6" state="visible" r:id="rId8"/>
    <sheet name="Сравнение" sheetId="7" state="visible" r:id="rId9"/>
    <sheet name="Чувствительность" sheetId="8" state="visible" r:id="rId10"/>
    <sheet name="Конкуренты" sheetId="9" state="visible" r:id="rId11"/>
    <sheet name="ЗапросДанных" sheetId="10" state="visible" r:id="rId12"/>
    <sheet name="Проверк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<sst xmlns="http://schemas.openxmlformats.org/spreadsheetml/2006/main" count="996" uniqueCount="614">
  <si>
    <t xml:space="preserve">KMT HomePrice.uz — оценка размера рынка и спроса, Ташкент, этап 1</t>
  </si>
  <si>
    <t xml:space="preserve">Версия 0.1 · 18.10.2026 · Связан с 01_Product/research/market_size.md (выводы и допущения)</t>
  </si>
  <si>
    <t xml:space="preserve">Структура: Данные (только источники и опубликованные цифры) → Допущения (параметры вывода, 3 сценария) → СверхуВниз → СнизуВверх → Сценарии → Сравнение → Чувствительность → Конкуренты → ЗапросДанных → Проверки.</t>
  </si>
  <si>
    <t xml:space="preserve">Данные и допущения разделены намеренно: лист «Данные» не содержит оценок, лист «Допущения» не содержит фактов (кроме ссылок на «Данные»).</t>
  </si>
  <si>
    <t xml:space="preserve">Цвета: синий — вводимое значение (данные или допущение); чёрный — формула; зелёный — ссылка на другой лист; жёлтая заливка — ключевое допущение, которое надо заменить данными в первую очередь.</t>
  </si>
  <si>
    <t xml:space="preserve">Теги: [факт] — опубликовано источником (дата и год данных указаны); [гипотеза] — допущение или расчёт на непроверенных данных; [проверить] — нужна проверка или данные от владельца/KMT.</t>
  </si>
  <si>
    <t xml:space="preserve">Сценарии: осторожный / базовый / оптимистичный. Это не «пессимизм/оптимизм» одной цифры, а согласованные наборы параметров; независимыми их считать нельзя.</t>
  </si>
  <si>
    <t xml:space="preserve">Важно: все деньги в сумах, пересчёт в доллары по курсу ЦБ на 17.10.2026 (лист «Данные»). Цены предложения (объявления) в этой модели как цены сделок не используются.</t>
  </si>
  <si>
    <t xml:space="preserve">Пересчёт: меняйте только синие ячейки на листах «Данные» и «Допущения». Остальное считается формулами.</t>
  </si>
  <si>
    <t xml:space="preserve">Данные: только опубликованные цифры и факты проекта. Оценки здесь не хранятся.</t>
  </si>
  <si>
    <t xml:space="preserve">ID</t>
  </si>
  <si>
    <t xml:space="preserve">Показатель</t>
  </si>
  <si>
    <t xml:space="preserve">Значение</t>
  </si>
  <si>
    <t xml:space="preserve">Ед.</t>
  </si>
  <si>
    <t xml:space="preserve">Источник (ссылка)</t>
  </si>
  <si>
    <t xml:space="preserve">Дата публикации</t>
  </si>
  <si>
    <t xml:space="preserve">Год / период данных</t>
  </si>
  <si>
    <t xml:space="preserve">Тег</t>
  </si>
  <si>
    <t xml:space="preserve">Примечание</t>
  </si>
  <si>
    <t xml:space="preserve">D1</t>
  </si>
  <si>
    <t xml:space="preserve">Договоры купли-продажи жилья по стране, 2025</t>
  </si>
  <si>
    <t xml:space="preserve">шт.</t>
  </si>
  <si>
    <t xml:space="preserve">ЦБ РУз «Анализ рынка недвижимости» в пересказе Spot: https://www.spot.uz/ru/2026/04/08/real-estate-review/</t>
  </si>
  <si>
    <t xml:space="preserve">08.04.2026</t>
  </si>
  <si>
    <t xml:space="preserve">2025 г.</t>
  </si>
  <si>
    <t xml:space="preserve">[факт]</t>
  </si>
  <si>
    <t xml:space="preserve">Жильё в целом (первичка + вторичка, вероятно и дома). Разбивки по квартирам и по Ташкенту нет.</t>
  </si>
  <si>
    <t xml:space="preserve">D2</t>
  </si>
  <si>
    <t xml:space="preserve">…из них IV квартал 2025</t>
  </si>
  <si>
    <t xml:space="preserve">там же</t>
  </si>
  <si>
    <t xml:space="preserve">IV кв. 2025</t>
  </si>
  <si>
    <t xml:space="preserve">D3</t>
  </si>
  <si>
    <t xml:space="preserve">Сделки купли-продажи по стране, январь–июнь 2026</t>
  </si>
  <si>
    <t xml:space="preserve">ЦЭИР (через review.uz) в пересказе Anhor: https://anhor.uz/news/rynok-nedvizhimosti-uzbekistana-sdelki-2026/</t>
  </si>
  <si>
    <t xml:space="preserve">03.08.2026</t>
  </si>
  <si>
    <t xml:space="preserve">янв–июнь 2026</t>
  </si>
  <si>
    <t xml:space="preserve">«Более 171 тыс.», +25,3% к тому же периоду 2025.</t>
  </si>
  <si>
    <t xml:space="preserve">D4</t>
  </si>
  <si>
    <t xml:space="preserve">Сделки по Ташкенту, июнь 2026</t>
  </si>
  <si>
    <t xml:space="preserve">июнь 2026</t>
  </si>
  <si>
    <t xml:space="preserve">Около 7,8 тыс. операций; рост за полугодие по Ташкенту +34,9%.</t>
  </si>
  <si>
    <t xml:space="preserve">D5</t>
  </si>
  <si>
    <t xml:space="preserve">Доля Ташкента в сделках по стране, июнь 2026</t>
  </si>
  <si>
    <t xml:space="preserve">доля</t>
  </si>
  <si>
    <t xml:space="preserve">Один месяц; сезонность неизвестна.</t>
  </si>
  <si>
    <t xml:space="preserve">D6</t>
  </si>
  <si>
    <t xml:space="preserve">Доля ипотечного жилья в сделках, 2025</t>
  </si>
  <si>
    <t xml:space="preserve">ЦБ РУз через Spot, 08.04.2026 (ссылка у D1)</t>
  </si>
  <si>
    <t xml:space="preserve">В 2024 г. 21,3%.</t>
  </si>
  <si>
    <t xml:space="preserve">D7</t>
  </si>
  <si>
    <t xml:space="preserve">Выдано ипотеки по стране, 2025</t>
  </si>
  <si>
    <t xml:space="preserve">трлн сум</t>
  </si>
  <si>
    <t xml:space="preserve">+29% к 2024.</t>
  </si>
  <si>
    <t xml:space="preserve">D8</t>
  </si>
  <si>
    <t xml:space="preserve">Заёмщиков по ипотеке по стране, янв–июнь 2026</t>
  </si>
  <si>
    <t xml:space="preserve">чел.</t>
  </si>
  <si>
    <t xml:space="preserve">ЦБ через Spot: https://www.spot.uz/ru/2026/07/26/mortgage/</t>
  </si>
  <si>
    <t xml:space="preserve">26.07.2026</t>
  </si>
  <si>
    <t xml:space="preserve">D9</t>
  </si>
  <si>
    <t xml:space="preserve">Объём ипотеки по стране, янв–июнь 2026</t>
  </si>
  <si>
    <t xml:space="preserve">+38% к прошлому году.</t>
  </si>
  <si>
    <t xml:space="preserve">D10</t>
  </si>
  <si>
    <t xml:space="preserve">Объём ипотеки по Ташкенту, янв–июнь 2026</t>
  </si>
  <si>
    <t xml:space="preserve">Только объём; числа заёмщиков по Ташкенту нет.</t>
  </si>
  <si>
    <t xml:space="preserve">D11</t>
  </si>
  <si>
    <t xml:space="preserve">Ипотека на вторичном рынке: заёмщиков, янв–июнь 2026</t>
  </si>
  <si>
    <t xml:space="preserve">3,3 трлн сум, 25% объёма.</t>
  </si>
  <si>
    <t xml:space="preserve">D12</t>
  </si>
  <si>
    <t xml:space="preserve">Ипотека на первичном рынке: заёмщиков, янв–июнь 2026</t>
  </si>
  <si>
    <t xml:space="preserve">9,8 трлн сум, 75% объёма.</t>
  </si>
  <si>
    <t xml:space="preserve">D13</t>
  </si>
  <si>
    <t xml:space="preserve">Ипотечных кредитов по стране, янв–май 2026 (Минэкономфин)</t>
  </si>
  <si>
    <t xml:space="preserve">Kun.uz: https://kun.uz/en/news/2026/07/06/tashkent-real-estate-market-shows-modest-price-growth-in-june-523ae3</t>
  </si>
  <si>
    <t xml:space="preserve">06.07.2026</t>
  </si>
  <si>
    <t xml:space="preserve">янв–май 2026</t>
  </si>
  <si>
    <t xml:space="preserve">НЕ СХОДИТСЯ с D8 (42,6 тыс. за 6 мес.): разные определения? См. лист «Проверки».</t>
  </si>
  <si>
    <t xml:space="preserve">D14</t>
  </si>
  <si>
    <t xml:space="preserve">Квартиры в многоквартирных домах, г. Ташкент, на 01.01.2025</t>
  </si>
  <si>
    <t xml:space="preserve">Нацкомстат: https://stat.uz/en/press-center/news-of-committee/61670-ko-p-kvartirali-uylarda-joylashgan-xonadonlar-soni-4-7-ga-oshgan-3</t>
  </si>
  <si>
    <t xml:space="preserve">15.05.2025</t>
  </si>
  <si>
    <t xml:space="preserve">на 01.01.2025</t>
  </si>
  <si>
    <t xml:space="preserve">35,4% по стране (1,6 млн).</t>
  </si>
  <si>
    <t xml:space="preserve">D15</t>
  </si>
  <si>
    <t xml:space="preserve">Квартир Ташкента охвачено массовой оценкой</t>
  </si>
  <si>
    <t xml:space="preserve">Spot: https://www.spot.uz/ru/2026/08/14/property-valuation/ ; https://www.spot.uz/ru/2026/09/09/real-estate/</t>
  </si>
  <si>
    <t xml:space="preserve">14.08.2026 / 09.09.2026</t>
  </si>
  <si>
    <t xml:space="preserve">данные на 01.07.2026</t>
  </si>
  <si>
    <t xml:space="preserve">«Более 600 тыс.»; частных домов более 213 тыс.</t>
  </si>
  <si>
    <t xml:space="preserve">D16</t>
  </si>
  <si>
    <t xml:space="preserve">Кадастровая стоимость этих квартир</t>
  </si>
  <si>
    <t xml:space="preserve">14.08.2026</t>
  </si>
  <si>
    <t xml:space="preserve">на 2026</t>
  </si>
  <si>
    <t xml:space="preserve">D17</t>
  </si>
  <si>
    <t xml:space="preserve">Стоимость по массовой оценке</t>
  </si>
  <si>
    <t xml:space="preserve">на 01.07.2026</t>
  </si>
  <si>
    <t xml:space="preserve">Власти: может быть на 20–30% ниже рынка (Anhor: https://anhor.uz/ru/news/nedvizhimost-tashkent-vyshe-kadastrova).</t>
  </si>
  <si>
    <t xml:space="preserve">D18</t>
  </si>
  <si>
    <t xml:space="preserve">Нотариальных сделок в базе массовой оценки</t>
  </si>
  <si>
    <t xml:space="preserve">Spot 09.09.2026 (ссылка у D15)</t>
  </si>
  <si>
    <t xml:space="preserve">09.09.2026</t>
  </si>
  <si>
    <t xml:space="preserve">период не указан</t>
  </si>
  <si>
    <t xml:space="preserve">Период выборки неизвестен — нельзя сопоставлять с годовым числом сделок.</t>
  </si>
  <si>
    <t xml:space="preserve">D19</t>
  </si>
  <si>
    <t xml:space="preserve">Собственников, выразивших позицию к 07.09.2026</t>
  </si>
  <si>
    <t xml:space="preserve">Gazeta.uz: https://www.gazeta.uz/ru/2026/09/08/appraisal-tashkent/</t>
  </si>
  <si>
    <t xml:space="preserve">08.09.2026</t>
  </si>
  <si>
    <t xml:space="preserve">по 07.09.2026</t>
  </si>
  <si>
    <t xml:space="preserve">Около 5 тыс. — ранняя, самоотобранная выборка. Общее число уведомлённых не опубликовано.</t>
  </si>
  <si>
    <t xml:space="preserve">D20</t>
  </si>
  <si>
    <t xml:space="preserve">…из них не согласились</t>
  </si>
  <si>
    <t xml:space="preserve">78% согласились; большинство несогласных просят ПОВЫСИТЬ стоимость.</t>
  </si>
  <si>
    <t xml:space="preserve">D21</t>
  </si>
  <si>
    <t xml:space="preserve">Срок обсуждения для собственников</t>
  </si>
  <si>
    <t xml:space="preserve">дней</t>
  </si>
  <si>
    <t xml:space="preserve">с 05.09.2026</t>
  </si>
  <si>
    <t xml:space="preserve">Возможное продление на 30 дней; по проекту закона 3–6 мес. (Gazeta) — расхождение.</t>
  </si>
  <si>
    <t xml:space="preserve">D22</t>
  </si>
  <si>
    <t xml:space="preserve">Период переоценки на охваченной территории: не реже 1 раза в</t>
  </si>
  <si>
    <t xml:space="preserve">года</t>
  </si>
  <si>
    <t xml:space="preserve">Gazeta.uz (ссылка у D19)</t>
  </si>
  <si>
    <t xml:space="preserve">по проекту закона</t>
  </si>
  <si>
    <t xml:space="preserve">Закон ещё не принят.</t>
  </si>
  <si>
    <t xml:space="preserve">D23</t>
  </si>
  <si>
    <t xml:space="preserve">Население г. Ташкента на 01.01.2026</t>
  </si>
  <si>
    <t xml:space="preserve">Нацкомстат: https://stat.uz/ru/press-tsentr/novosti-goskomstata/66573-zbekiston-a-olisi-38-2-</t>
  </si>
  <si>
    <t xml:space="preserve">28.01.2026</t>
  </si>
  <si>
    <t xml:space="preserve">на 01.01.2026</t>
  </si>
  <si>
    <t xml:space="preserve">D24</t>
  </si>
  <si>
    <t xml:space="preserve">Население Узбекистана на 01.01.2026</t>
  </si>
  <si>
    <t xml:space="preserve">D25</t>
  </si>
  <si>
    <t xml:space="preserve">Удовлетворённых исков о разводе по стране, 2025</t>
  </si>
  <si>
    <t xml:space="preserve">Верховный суд через Kun.uz: https://kun.uz/ru/news/2026/01/29/v-uzbekistane-vyroslo-chislo-razvodov</t>
  </si>
  <si>
    <t xml:space="preserve">29.01.2026</t>
  </si>
  <si>
    <t xml:space="preserve">Рассмотрено 70 535. Ташкента отдельно нет.</t>
  </si>
  <si>
    <t xml:space="preserve">D26</t>
  </si>
  <si>
    <t xml:space="preserve">Средняя цена квартиры в Ташкенте, многоэтажные дома (цены предложения)</t>
  </si>
  <si>
    <t xml:space="preserve">млн сум/м²</t>
  </si>
  <si>
    <t xml:space="preserve">Наццентр массовой оценки через Kun.uz (ссылка у D13)</t>
  </si>
  <si>
    <t xml:space="preserve">03.07.2026</t>
  </si>
  <si>
    <t xml:space="preserve">ЦЕНЫ ПРЕДЛОЖЕНИЯ с торговых площадок, не сделок.</t>
  </si>
  <si>
    <t xml:space="preserve">D27</t>
  </si>
  <si>
    <t xml:space="preserve">Курс USD, ЦБ РУз</t>
  </si>
  <si>
    <t xml:space="preserve">сум/USD</t>
  </si>
  <si>
    <t xml:space="preserve">https://cbu.uz/ru/arkhiv-kursov-valyut/</t>
  </si>
  <si>
    <t xml:space="preserve">16.10.2026</t>
  </si>
  <si>
    <t xml:space="preserve">на 17.10.2026</t>
  </si>
  <si>
    <t xml:space="preserve">D28</t>
  </si>
  <si>
    <t xml:space="preserve">Цена отчёта KMT (уровень 3)</t>
  </si>
  <si>
    <t xml:space="preserve">сум</t>
  </si>
  <si>
    <t xml:space="preserve">Документы проекта: 11_Marketing_Growth/02_Marketing_Context.md</t>
  </si>
  <si>
    <t xml:space="preserve">18.10.2026</t>
  </si>
  <si>
    <t xml:space="preserve">2026</t>
  </si>
  <si>
    <t xml:space="preserve">[факт проекта]</t>
  </si>
  <si>
    <t xml:space="preserve">Срок 2 дня; отчёт принимает любой банк — со слов владельца, письменно не подтверждено.</t>
  </si>
  <si>
    <t xml:space="preserve">D29</t>
  </si>
  <si>
    <t xml:space="preserve">Ставка налога на имущество физлиц (жильё до 200 м²), 2026</t>
  </si>
  <si>
    <t xml:space="preserve">Spot: https://www.spot.uz/ru/2026/01/07/property-tax-2026/</t>
  </si>
  <si>
    <t xml:space="preserve">07.01.2026</t>
  </si>
  <si>
    <t xml:space="preserve">2026 г.</t>
  </si>
  <si>
    <t xml:space="preserve">Применение результатов массовой оценки к налогу — вопрос будущего, нужен закон.</t>
  </si>
  <si>
    <t xml:space="preserve">D30</t>
  </si>
  <si>
    <t xml:space="preserve">Организации поиска: органический трафик uybor.uz</t>
  </si>
  <si>
    <t xml:space="preserve">визитов/мес</t>
  </si>
  <si>
    <t xml:space="preserve">AhrefsTop: https://ahrefstop.com/websites/uybor.uz</t>
  </si>
  <si>
    <t xml:space="preserve">окт. 2026</t>
  </si>
  <si>
    <t xml:space="preserve">[гипотеза]</t>
  </si>
  <si>
    <t xml:space="preserve">Оценка стороннего сервиса, не данные сайта. Ahrefs занижает рынок с узбекским/русским поиском [проверить].</t>
  </si>
  <si>
    <t xml:space="preserve">D31</t>
  </si>
  <si>
    <t xml:space="preserve">Органический трафик realting.uz</t>
  </si>
  <si>
    <t xml:space="preserve">AhrefsTop: https://ahrefstop.com/websites/realting.uz</t>
  </si>
  <si>
    <t xml:space="preserve">Оценка стороннего сервиса.</t>
  </si>
  <si>
    <t xml:space="preserve">D32</t>
  </si>
  <si>
    <t xml:space="preserve">Органический трафик olx.uz (все категории)</t>
  </si>
  <si>
    <t xml:space="preserve">AhrefsTop: https://ahrefstop.com/websites/olx.uz</t>
  </si>
  <si>
    <t xml:space="preserve">Почти весь — брендовые запросы («olx», «olx uz»); к недвижимости отнести нельзя.</t>
  </si>
  <si>
    <t xml:space="preserve">D33</t>
  </si>
  <si>
    <t xml:space="preserve">Объявлений о продаже квартир в Ташкенте (после склейки дублей), UyScan</t>
  </si>
  <si>
    <t xml:space="preserve">https://www.uyscan.uz (наблюдение 18.10.2026), профиль в 12_Business/competitors/uyscan-uz.md</t>
  </si>
  <si>
    <t xml:space="preserve">на 18.10.2026</t>
  </si>
  <si>
    <t xml:space="preserve">52 803 сырых объявлений. Предложение, не сделки.</t>
  </si>
  <si>
    <t xml:space="preserve">D34</t>
  </si>
  <si>
    <t xml:space="preserve">Доля многоквартирных домов среди домохозяйств г. Ташкента</t>
  </si>
  <si>
    <t xml:space="preserve">Нацкомстат: https://stat.uz/ru/press-tsentr/novosti-goskomstata/41549-toshkent-shahrida-63-4-uy-xo-jaliklari-ko-p-kvartirali-uylarda-yashaydi-2</t>
  </si>
  <si>
    <t xml:space="preserve">12.07.2023</t>
  </si>
  <si>
    <t xml:space="preserve">янв–июнь 2023</t>
  </si>
  <si>
    <t xml:space="preserve">Данные 2023 г. устарели.</t>
  </si>
  <si>
    <t xml:space="preserve">D35</t>
  </si>
  <si>
    <t xml:space="preserve">Ориентир проекта: доля контактов от расчётов ур. 1</t>
  </si>
  <si>
    <t xml:space="preserve">Документ 05_4P.md (15–25%)</t>
  </si>
  <si>
    <t xml:space="preserve">15.10.2026</t>
  </si>
  <si>
    <t xml:space="preserve">—</t>
  </si>
  <si>
    <t xml:space="preserve">Взят проектом из общих ориентиров, не измерен.</t>
  </si>
  <si>
    <t xml:space="preserve">D36</t>
  </si>
  <si>
    <t xml:space="preserve">Ориентир проекта: доля заказов ур. 3 от контактов</t>
  </si>
  <si>
    <t xml:space="preserve">Документ 05_4P.md (2–5%)</t>
  </si>
  <si>
    <t xml:space="preserve">Середина диапазона; не измерен.</t>
  </si>
  <si>
    <t xml:space="preserve">D37</t>
  </si>
  <si>
    <t xml:space="preserve">Пользователей Telegram в Узбекистане</t>
  </si>
  <si>
    <t xml:space="preserve">Kursiv через 01_PEST.md: https://uz.kursiv.media/2026-07-07/v-kakih-soczsetyah-zalipayut-uzbekistanczy-analiz-digital-rynka/</t>
  </si>
  <si>
    <t xml:space="preserve">07.07.2026</t>
  </si>
  <si>
    <t xml:space="preserve">Не перепроверено в этом исследовании.</t>
  </si>
  <si>
    <t xml:space="preserve">Допущения: все значения здесь — параметры вывода, а не данные. Любое можно и нужно заменить данными (см. лист «ЗапросДанных»).</t>
  </si>
  <si>
    <t xml:space="preserve">Параметр</t>
  </si>
  <si>
    <t xml:space="preserve">Осторожный</t>
  </si>
  <si>
    <t xml:space="preserve">Базовый</t>
  </si>
  <si>
    <t xml:space="preserve">Оптимистичный</t>
  </si>
  <si>
    <t xml:space="preserve">Обоснование и как проверить</t>
  </si>
  <si>
    <t xml:space="preserve">sh_T</t>
  </si>
  <si>
    <t xml:space="preserve">Доля Ташкента в договорах купли-продажи жилья</t>
  </si>
  <si>
    <t xml:space="preserve">Факт — только июнь 2026 (30,8%). В осторожном сценарии 25% на случай сезонной аномалии. Проверить: помесячные данные ЦЭИР/Кадастра за 12 мес.</t>
  </si>
  <si>
    <t xml:space="preserve">sh_apt</t>
  </si>
  <si>
    <t xml:space="preserve">Доля квартир в договорах по Ташкенту</t>
  </si>
  <si>
    <t xml:space="preserve">Данных нет: в статистике «жильё». 63,4% домохозяйств Ташкента в многоквартирных домах (2023), сделки смещены к квартирам. Проверить: запрос в Агентство кадастра по типу объекта.</t>
  </si>
  <si>
    <t xml:space="preserve">m_up</t>
  </si>
  <si>
    <t xml:space="preserve">Рост 2026 г. к полугодовому темпу (поправка на II полугодие)</t>
  </si>
  <si>
    <t xml:space="preserve">Используется только в оптимистичном сценарии для годовой ипотеки. Сезонность ипотеки неизвестна.</t>
  </si>
  <si>
    <t xml:space="preserve">m_shT</t>
  </si>
  <si>
    <t xml:space="preserve">Доля Ташкента в числе ипотечных кредитов (по числу)</t>
  </si>
  <si>
    <t xml:space="preserve">Известна доля по ОБЪЁМУ (30,6%); по числу, вероятно, ниже, т.к. кредиты в Ташкенте крупнее. Проверить: ЦБ/банки — число кредитов по Ташкенту.</t>
  </si>
  <si>
    <t xml:space="preserve">m_sec</t>
  </si>
  <si>
    <t xml:space="preserve">Доля вторичного рынка в ипотеке Ташкента (по числу)</t>
  </si>
  <si>
    <t xml:space="preserve">По стране 24,9% по числу (10 580 из 42 575). Для Ташкента, вероятно, выше. Проверить: данные банков.</t>
  </si>
  <si>
    <t xml:space="preserve">m_nm</t>
  </si>
  <si>
    <t xml:space="preserve">Кредиты под залог квартиры вне ипотеки, к числу ипотечных</t>
  </si>
  <si>
    <t xml:space="preserve">Открытых данных нет (потребкредиты и бизнес-кредиты под залог жилья). Проверить: опрос 3–5 банков.</t>
  </si>
  <si>
    <t xml:space="preserve">ch_sec</t>
  </si>
  <si>
    <t xml:space="preserve">Доля вторичной ипотеки и залоговых кредитов, где заёмщик может выбрать независимого оценщика (напр. KMT)</t>
  </si>
  <si>
    <t xml:space="preserve">Владелец: отчёт KMT принимает любой банк (письменно не подтверждено). Банки могут держать список оценщиков. Проверить: интервью с 3–5 банками и ипотечными брокерами.</t>
  </si>
  <si>
    <t xml:space="preserve">ch_prim</t>
  </si>
  <si>
    <t xml:space="preserve">То же для первичного рынка (новостройки)</t>
  </si>
  <si>
    <t xml:space="preserve">Оценка обычно идёт через банк/застройщика. Проверить: интервью.</t>
  </si>
  <si>
    <t xml:space="preserve">cdr</t>
  </si>
  <si>
    <t xml:space="preserve">Смертность, на 1000 жителей</t>
  </si>
  <si>
    <t xml:space="preserve">‰</t>
  </si>
  <si>
    <t xml:space="preserve">Показатель по Ташкенту в этом исследовании не найден. Проверить: Нацкомстат, число умерших по г. Ташкенту за 2025.</t>
  </si>
  <si>
    <t xml:space="preserve">dead_own</t>
  </si>
  <si>
    <t xml:space="preserve">Доля умерших, оставивших квартиру в Ташкенте</t>
  </si>
  <si>
    <t xml:space="preserve">Нет данных. Проверить: нотариат (число наследственных дел с квартирой).</t>
  </si>
  <si>
    <t xml:space="preserve">inh_ord</t>
  </si>
  <si>
    <t xml:space="preserve">Доля наследств с квартирой, где заказана независимая оценка</t>
  </si>
  <si>
    <t xml:space="preserve">Нет данных. Нотариус может принять оценку и по другим правилам. Проверить: опрос 2–3 нотариусов.</t>
  </si>
  <si>
    <t xml:space="preserve">court_sh</t>
  </si>
  <si>
    <t xml:space="preserve">Доля удовлетворённых разводов, где нужна оценка квартиры</t>
  </si>
  <si>
    <t xml:space="preserve">Нет данных. Проверить: статистика судов по спорам о разделе имущества.</t>
  </si>
  <si>
    <t xml:space="preserve">court_oth</t>
  </si>
  <si>
    <t xml:space="preserve">Надбавка на прочие споры (наследство, долги, раздел) к разводам</t>
  </si>
  <si>
    <t xml:space="preserve">×</t>
  </si>
  <si>
    <t xml:space="preserve">Нет данных. Владелец: суды у KMT — редкий сегмент.</t>
  </si>
  <si>
    <t xml:space="preserve">tax_dis</t>
  </si>
  <si>
    <t xml:space="preserve">Доля собственников, несогласных с массовой оценкой</t>
  </si>
  <si>
    <t xml:space="preserve">Факт 22% — ранняя выборка ~5 тыс. самоотобранных. Осторожно: 10%.</t>
  </si>
  <si>
    <t xml:space="preserve">tax_ord</t>
  </si>
  <si>
    <t xml:space="preserve">Доля несогласных, заказавших платную независимую оценку</t>
  </si>
  <si>
    <t xml:space="preserve">Нет данных. Большинство несогласных, по Gazeta, просят повысить цену — им не обязательно платить. Проверить: число обращений в KMT за 6 недель (Q1 ЗапросДанных).</t>
  </si>
  <si>
    <t xml:space="preserve">tax_leg</t>
  </si>
  <si>
    <t xml:space="preserve">Правовая применимость независимой оценки для оспаривания (закон не принят)</t>
  </si>
  <si>
    <t xml:space="preserve">По проекту закона независимая оценка возможна после решения комиссии. Проверить: юрист (Р. Навруз-зода).</t>
  </si>
  <si>
    <t xml:space="preserve">tax_win</t>
  </si>
  <si>
    <t xml:space="preserve">Доля волны платных оценок, попадающая в окно этапа 1</t>
  </si>
  <si>
    <t xml:space="preserve">Обсуждение с 05.09, 60 (+30) дней; старт каналов с ПДн ~18.11 (A4). Значительная часть волны пройдёт до нашего старта.</t>
  </si>
  <si>
    <t xml:space="preserve">price3</t>
  </si>
  <si>
    <t xml:space="preserve">Средняя цена официальной оценки квартиры на рынке</t>
  </si>
  <si>
    <t xml:space="preserve">Цена KMT 1 млн — факт; рыночная цена банковских оценок неизвестна. Проверить: прайсы 5 оценочных компаний.</t>
  </si>
  <si>
    <t xml:space="preserve">nonclose</t>
  </si>
  <si>
    <t xml:space="preserve">Прохожие: ищущие цену, но не закрывшие сделку, на 1 закрытую сделку</t>
  </si>
  <si>
    <t xml:space="preserve">Нет данных. Для оценки ёмкости верхней воронки (ур. 1–2).</t>
  </si>
  <si>
    <t xml:space="preserve">adopt</t>
  </si>
  <si>
    <t xml:space="preserve">Доля участников решения о цене, пользующихся онлайн-оценкой (любой)</t>
  </si>
  <si>
    <t xml:space="preserve">Нет данных об узбекском рынке. Проверить: опрос 100+ респондентов; данные UyScan/STAI о числе расчётов.</t>
  </si>
  <si>
    <t xml:space="preserve">our_sh</t>
  </si>
  <si>
    <t xml:space="preserve">Доля HomePrice в онлайн-расчётах Ташкента на этапе 1</t>
  </si>
  <si>
    <t xml:space="preserve">Новый игрок, без бюджета; конкуренты — STAI, UyScan, портальные виджеты.</t>
  </si>
  <si>
    <t xml:space="preserve">pay2</t>
  </si>
  <si>
    <t xml:space="preserve">Доля платящих за уровень 2 после теста</t>
  </si>
  <si>
    <t xml:space="preserve">Нет данных. Проверить: тест цены Gabor-Granger.</t>
  </si>
  <si>
    <t xml:space="preserve">price2</t>
  </si>
  <si>
    <t xml:space="preserve">Цена уровня 2</t>
  </si>
  <si>
    <t xml:space="preserve">Диапазон 50–150 тыс. из 05_4P.md — гипотеза проекта.</t>
  </si>
  <si>
    <t xml:space="preserve">reach</t>
  </si>
  <si>
    <t xml:space="preserve">Доля событий SAM, доходящих до заказа KMT через HomePrice на этапе 1 (сверху вниз)</t>
  </si>
  <si>
    <t xml:space="preserve">Нет данных. Это «доля охвата» — главный независимый параметр сравнения с методом снизу вверх.</t>
  </si>
  <si>
    <t xml:space="preserve">wave_reach</t>
  </si>
  <si>
    <t xml:space="preserve">Доля волны платных оценок налоговой темы, доходящая до KMT через HomePrice</t>
  </si>
  <si>
    <t xml:space="preserve">Владелец: основной входящий спрос к KMT — налоговая тема (числа не названы).</t>
  </si>
  <si>
    <t xml:space="preserve">months</t>
  </si>
  <si>
    <t xml:space="preserve">Длительность этапа 1 в расчёте</t>
  </si>
  <si>
    <t xml:space="preserve">мес.</t>
  </si>
  <si>
    <t xml:space="preserve">По Stage1_Plan первые каналы с ПДн включаются на ~6-й неделе; 3 месяца — рабочая рамка. Проверить с владельцем.</t>
  </si>
  <si>
    <t xml:space="preserve">ramp</t>
  </si>
  <si>
    <t xml:space="preserve">Коэффициент наращивания (средний уровень за этап / устойчивый)</t>
  </si>
  <si>
    <t xml:space="preserve">Линейный рост от 0 до устойчивого уровня.</t>
  </si>
  <si>
    <t xml:space="preserve">org</t>
  </si>
  <si>
    <t xml:space="preserve">Органические визиты на сайт в месяц (устойчивый уровень)</t>
  </si>
  <si>
    <t xml:space="preserve">Ориентиры: uybor.uz ~7 тыс., realting.uz ~11 тыс. органики (AhrefsTop, окт. 2026). Новый сайт без бюджета: 10–60% от них. Проверить: Wordstat/Search Console.</t>
  </si>
  <si>
    <t xml:space="preserve">tg_subs</t>
  </si>
  <si>
    <t xml:space="preserve">Подписчики Telegram-канала HomePrice к концу этапа</t>
  </si>
  <si>
    <t xml:space="preserve">Размер аналогичных каналов не найден в открытых источниках. Проверить: tgstat/telemetr по 10 каналам недвижимости Ташкента.</t>
  </si>
  <si>
    <t xml:space="preserve">tg_rate</t>
  </si>
  <si>
    <t xml:space="preserve">Визитов на сайт в месяц на 1 подписчика</t>
  </si>
  <si>
    <t xml:space="preserve">визитов</t>
  </si>
  <si>
    <t xml:space="preserve">Недельный пост с ссылкой (задача F1). Нет данных.</t>
  </si>
  <si>
    <t xml:space="preserve">p_br</t>
  </si>
  <si>
    <t xml:space="preserve">Партнёры: ипотечные брокеры и риелторы</t>
  </si>
  <si>
    <t xml:space="preserve">Владелец найдёт связи (решение 15.10). Проверить: список встреч.</t>
  </si>
  <si>
    <t xml:space="preserve">p_ap</t>
  </si>
  <si>
    <t xml:space="preserve">Партнёры: оценочные компании</t>
  </si>
  <si>
    <t xml:space="preserve">Число оценочных организаций в стране не найдено. Проверить: реестр.</t>
  </si>
  <si>
    <t xml:space="preserve">p_bk</t>
  </si>
  <si>
    <t xml:space="preserve">Партнёры: банки</t>
  </si>
  <si>
    <t xml:space="preserve">Долгий цикл; пилот возможен не ранее конца этапа.</t>
  </si>
  <si>
    <t xml:space="preserve">p_nt</t>
  </si>
  <si>
    <t xml:space="preserve">Партнёры: нотариусы</t>
  </si>
  <si>
    <t xml:space="preserve">Редкий, точный канал.</t>
  </si>
  <si>
    <t xml:space="preserve">pv</t>
  </si>
  <si>
    <t xml:space="preserve">Визитов на сайт от одного партнёра в месяц</t>
  </si>
  <si>
    <t xml:space="preserve">Нет данных.</t>
  </si>
  <si>
    <t xml:space="preserve">oth</t>
  </si>
  <si>
    <t xml:space="preserve">Прочий и прямой трафик (надбавка к сумме каналов)</t>
  </si>
  <si>
    <t xml:space="preserve">calc</t>
  </si>
  <si>
    <t xml:space="preserve">Доля визитов, завершивших расчёт</t>
  </si>
  <si>
    <t xml:space="preserve">Воронка не измерена (аналитика подключена, входов нет). Проверить: первые 100 расчётов.</t>
  </si>
  <si>
    <t xml:space="preserve">cont</t>
  </si>
  <si>
    <t xml:space="preserve">Доля расчётов → обращение к KMT (клик/сообщение)</t>
  </si>
  <si>
    <t xml:space="preserve">Проект: 15–25% (общий ориентир). До pd.gov.uz контакты не собираем: обращение инициирует клиент, учёт — вопрос юристу.</t>
  </si>
  <si>
    <t xml:space="preserve">ord</t>
  </si>
  <si>
    <t xml:space="preserve">Доля обращений → заказ уровня 3</t>
  </si>
  <si>
    <t xml:space="preserve">Проект: 2–5% (общий ориентир).</t>
  </si>
  <si>
    <t xml:space="preserve">p_ord</t>
  </si>
  <si>
    <t xml:space="preserve">Прямых заказов уровня 3 от одного партнёра в месяц</t>
  </si>
  <si>
    <t xml:space="preserve">заказов</t>
  </si>
  <si>
    <t xml:space="preserve">Нет данных. Проверить: пилот с 2–3 брокерами.</t>
  </si>
  <si>
    <t xml:space="preserve">Сверху вниз: события, где нужна оценка квартиры в Ташкенте, и доля, доступная KMT/HomePrice. Год = последние 12 мес. (2025–2026).</t>
  </si>
  <si>
    <t xml:space="preserve">Как считается / тег</t>
  </si>
  <si>
    <t xml:space="preserve">1. Сделки с жильём</t>
  </si>
  <si>
    <t xml:space="preserve">Договоры купли-продажи жилья по стране за год</t>
  </si>
  <si>
    <t xml:space="preserve">[факт] ЦБ, 2025 г. (D1)</t>
  </si>
  <si>
    <t xml:space="preserve">Доля Ташкента</t>
  </si>
  <si>
    <t xml:space="preserve">[гипотеза] из июня 2026 (D5)</t>
  </si>
  <si>
    <t xml:space="preserve">Договоры по Ташкенту за год (жильё, первичка+вторичка)</t>
  </si>
  <si>
    <t xml:space="preserve">[гипотеза] = страна × доля</t>
  </si>
  <si>
    <t xml:space="preserve">Доля квартир</t>
  </si>
  <si>
    <t xml:space="preserve">Сделки с квартирами в Ташкенте за год</t>
  </si>
  <si>
    <t xml:space="preserve">Оборот фонда: сделки / квартиры в МКД Ташкента</t>
  </si>
  <si>
    <t xml:space="preserve">[гипотеза] проверка правдоподобия (D14 на 01.01.2025); &gt;12% — вероятен перегиб, см. «Проверки»</t>
  </si>
  <si>
    <t xml:space="preserve">2. Ипотека и залог</t>
  </si>
  <si>
    <t xml:space="preserve">Ипотечных кредитов по стране за год</t>
  </si>
  <si>
    <t xml:space="preserve">[гипотеза] осторожный: 2025 = договоры×22%; базовый: январь–июнь 2026 ×2; оптимистичный: +поправка. Сверка со средним чеком — «Проверки»</t>
  </si>
  <si>
    <t xml:space="preserve">Доля Ташкента (по числу)</t>
  </si>
  <si>
    <t xml:space="preserve">Ипотечных кредитов в Ташкенте за год</t>
  </si>
  <si>
    <t xml:space="preserve">…из них на вторичном рынке</t>
  </si>
  <si>
    <t xml:space="preserve">…из них на первичном рынке</t>
  </si>
  <si>
    <t xml:space="preserve">Залоговые кредиты под квартиры вне ипотеки</t>
  </si>
  <si>
    <t xml:space="preserve">[гипотеза] открытых данных нет</t>
  </si>
  <si>
    <t xml:space="preserve">3. Наследство</t>
  </si>
  <si>
    <t xml:space="preserve">Население Ташкента</t>
  </si>
  <si>
    <t xml:space="preserve">[факт] 01.01.2026 (D23)</t>
  </si>
  <si>
    <t xml:space="preserve">Умерших в год</t>
  </si>
  <si>
    <t xml:space="preserve">[гипотеза] смертность по Ташкенту не найдена</t>
  </si>
  <si>
    <t xml:space="preserve">…оставивших квартиру в Ташкенте</t>
  </si>
  <si>
    <t xml:space="preserve">Наследств с независимой оценкой квартиры</t>
  </si>
  <si>
    <t xml:space="preserve">4. Суды</t>
  </si>
  <si>
    <t xml:space="preserve">Удовлетворённых разводов в Ташкенте (по доле населения)</t>
  </si>
  <si>
    <t xml:space="preserve">[гипотеза] страна × доля населения (D25, D23, D24)</t>
  </si>
  <si>
    <t xml:space="preserve">Судебных споров с оценкой квартиры (с надбавкой на прочие)</t>
  </si>
  <si>
    <t xml:space="preserve">5. Массовая оценка и налог на имущество (волна, Ташкент)</t>
  </si>
  <si>
    <t xml:space="preserve">Квартир в массовой оценке</t>
  </si>
  <si>
    <t xml:space="preserve">[факт] D15</t>
  </si>
  <si>
    <t xml:space="preserve">Доля несогласных</t>
  </si>
  <si>
    <t xml:space="preserve">[гипотеза] из 22% (D20)</t>
  </si>
  <si>
    <t xml:space="preserve">Доля заказавших платную оценку</t>
  </si>
  <si>
    <t xml:space="preserve">Правовая применимость</t>
  </si>
  <si>
    <t xml:space="preserve">Платных независимых оценок в волне (разово, не в год)</t>
  </si>
  <si>
    <t xml:space="preserve">[гипотеза] разовая волна; считается отдельно от годового потока</t>
  </si>
  <si>
    <t xml:space="preserve">Повторяющийся поток после волны (в год)</t>
  </si>
  <si>
    <t xml:space="preserve">[гипотеза] волна / период переоценки (D22: 3 года)</t>
  </si>
  <si>
    <t xml:space="preserve">6. Ёмкость рынка официальных оценок (TAM) — любой оценщик, год</t>
  </si>
  <si>
    <t xml:space="preserve">События, требующие оценки (ипотека + залог + наследство + суды + повторяющийся налог)</t>
  </si>
  <si>
    <t xml:space="preserve">шт./год</t>
  </si>
  <si>
    <t xml:space="preserve">[гипотеза] без первичной разовой волны</t>
  </si>
  <si>
    <t xml:space="preserve">Средняя цена оценки</t>
  </si>
  <si>
    <t xml:space="preserve">[гипотеза] (KMT: 1 млн, D28)</t>
  </si>
  <si>
    <t xml:space="preserve">TAM, сум в год</t>
  </si>
  <si>
    <t xml:space="preserve">TAM, USD в год</t>
  </si>
  <si>
    <t xml:space="preserve">USD</t>
  </si>
  <si>
    <t xml:space="preserve">[гипотеза] курс D27 на 17.10.2026</t>
  </si>
  <si>
    <t xml:space="preserve">7. Доступная часть (SAM): заказчик выбирает независимого оценщика</t>
  </si>
  <si>
    <t xml:space="preserve">Вторичная ипотека × доля выбора</t>
  </si>
  <si>
    <t xml:space="preserve">Первичная ипотека × доля выбора</t>
  </si>
  <si>
    <t xml:space="preserve">Залоговые вне ипотеки × доля выбора</t>
  </si>
  <si>
    <t xml:space="preserve">SAM, событий в год (+ наследство, суды, повторяющийся налог целиком)</t>
  </si>
  <si>
    <t xml:space="preserve">SAM, сум в год</t>
  </si>
  <si>
    <t xml:space="preserve">SAM, USD в год</t>
  </si>
  <si>
    <t xml:space="preserve">SAM как доля TAM</t>
  </si>
  <si>
    <t xml:space="preserve">8. Верхняя воронка (ур. 1–2): онлайн-расчёты по Ташкенту</t>
  </si>
  <si>
    <t xml:space="preserve">Участников решения о цене (продавец + покупатель на сделку)</t>
  </si>
  <si>
    <t xml:space="preserve">чел./год</t>
  </si>
  <si>
    <t xml:space="preserve">…с учётом ищущих без сделки</t>
  </si>
  <si>
    <t xml:space="preserve">Пользуются онлайн-оценкой (любой)</t>
  </si>
  <si>
    <t xml:space="preserve">расчётов/год</t>
  </si>
  <si>
    <t xml:space="preserve">…в месяц</t>
  </si>
  <si>
    <t xml:space="preserve">расчётов/мес</t>
  </si>
  <si>
    <t xml:space="preserve">Доля HomePrice на этапе 1</t>
  </si>
  <si>
    <t xml:space="preserve">Расчётов HomePrice в месяц (сверху вниз)</t>
  </si>
  <si>
    <t xml:space="preserve">Ёмкость платного уровня 2, сум в год (весь рынок онлайн-оценок)</t>
  </si>
  <si>
    <t xml:space="preserve">[гипотеза] показывает, что ур. 2 сам по себе — не бизнес</t>
  </si>
  <si>
    <t xml:space="preserve">…в USD</t>
  </si>
  <si>
    <t xml:space="preserve">9. Заказы уровня 3 через HomePrice на этапе 1 (сверху вниз)</t>
  </si>
  <si>
    <t xml:space="preserve">Охват SAM через HomePrice</t>
  </si>
  <si>
    <t xml:space="preserve">Заказов ур. 3 в месяц, годовой поток (без волны)</t>
  </si>
  <si>
    <t xml:space="preserve">заказов/мес</t>
  </si>
  <si>
    <t xml:space="preserve">Волна: оценок, попадающих в окно этапа 1</t>
  </si>
  <si>
    <t xml:space="preserve">Волна: заказов ур. 3 за этап 1 (оверлей)</t>
  </si>
  <si>
    <t xml:space="preserve">заказов за этап</t>
  </si>
  <si>
    <t xml:space="preserve">[гипотеза] не входит в сравнение методов</t>
  </si>
  <si>
    <t xml:space="preserve">Волна: заказов в месяц (оверлей)</t>
  </si>
  <si>
    <t xml:space="preserve">Снизу вверх: воронка этапа 1 от каналов привлечения (устойчивый месячный уровень к концу этапа). Источник канальных чисел — допущения; открытых данных по поисковым запросам нет.</t>
  </si>
  <si>
    <t xml:space="preserve">1. Каналы и визиты</t>
  </si>
  <si>
    <t xml:space="preserve">Органический поиск</t>
  </si>
  <si>
    <t xml:space="preserve">[гипотеза] ориентир: uybor.uz ~7 тыс., realting.uz ~11 тыс. (Данные D30–D31)</t>
  </si>
  <si>
    <t xml:space="preserve">Подписчиков Telegram</t>
  </si>
  <si>
    <t xml:space="preserve">Визиты из Telegram</t>
  </si>
  <si>
    <t xml:space="preserve">Партнёры: брокеры/риелторы</t>
  </si>
  <si>
    <t xml:space="preserve">Партнёров всего</t>
  </si>
  <si>
    <t xml:space="preserve">расчёт</t>
  </si>
  <si>
    <t xml:space="preserve">Визиты от партнёров</t>
  </si>
  <si>
    <t xml:space="preserve">Визитов всего (с прочим и прямым трафиком)</t>
  </si>
  <si>
    <t xml:space="preserve">2. Воронка</t>
  </si>
  <si>
    <t xml:space="preserve">Расчётов HomePrice в месяц (снизу вверх)</t>
  </si>
  <si>
    <t xml:space="preserve">Доля расчётов → обращение к KMT</t>
  </si>
  <si>
    <t xml:space="preserve">Обращений к KMT из воронки</t>
  </si>
  <si>
    <t xml:space="preserve">обращений/мес</t>
  </si>
  <si>
    <t xml:space="preserve">Доля обращений → заказ ур. 3</t>
  </si>
  <si>
    <t xml:space="preserve">Заказов ур. 3 из воронки сайта</t>
  </si>
  <si>
    <t xml:space="preserve">Прямых заказов от партнёров</t>
  </si>
  <si>
    <t xml:space="preserve">Заказов ур. 3 в месяц (снизу вверх)</t>
  </si>
  <si>
    <t xml:space="preserve">3. Итоги этапа 1</t>
  </si>
  <si>
    <t xml:space="preserve">Длительность этапа</t>
  </si>
  <si>
    <t xml:space="preserve">Заказов ур. 3 за этап (с наращиванием)</t>
  </si>
  <si>
    <t xml:space="preserve">Расчётов за этап (с наращиванием)</t>
  </si>
  <si>
    <t xml:space="preserve">расчётов</t>
  </si>
  <si>
    <t xml:space="preserve">Выручка ур. 3 брутто за этап, сум (по цене KMT)</t>
  </si>
  <si>
    <t xml:space="preserve">[гипотеза] без маржи (маржа KMT неизвестна, L7)</t>
  </si>
  <si>
    <t xml:space="preserve">Три сценария этапа 1. Метод основной — снизу вверх; сверху вниз — проверка. Все значения — [гипотеза].</t>
  </si>
  <si>
    <t xml:space="preserve">Показатель этапа 1 (устойчивый месячный уровень)</t>
  </si>
  <si>
    <t xml:space="preserve">Расчётов в месяц (снизу вверх)</t>
  </si>
  <si>
    <t xml:space="preserve">Основная оценка</t>
  </si>
  <si>
    <t xml:space="preserve">Расчётов в месяц (сверху вниз)</t>
  </si>
  <si>
    <t xml:space="preserve">Проверка по ёмкости рынка</t>
  </si>
  <si>
    <t xml:space="preserve">Основная оценка, без налоговой волны</t>
  </si>
  <si>
    <t xml:space="preserve">Заказов ур. 3 в месяц (сверху вниз)</t>
  </si>
  <si>
    <t xml:space="preserve">Проверка</t>
  </si>
  <si>
    <t xml:space="preserve">Налоговая волна: заказов в месяц (оверлей)</t>
  </si>
  <si>
    <t xml:space="preserve">Разовая; зависит от срока закона и старта каналов</t>
  </si>
  <si>
    <t xml:space="preserve">Заказов ур. 3 в месяц с волной (снизу вверх + оверлей)</t>
  </si>
  <si>
    <t xml:space="preserve">Верхняя граница месяца пика</t>
  </si>
  <si>
    <t xml:space="preserve">Заказов ур. 3 за этап (снизу вверх, с наращиванием)</t>
  </si>
  <si>
    <t xml:space="preserve">Партнёров к концу этапа</t>
  </si>
  <si>
    <t xml:space="preserve">Порог для агрегатора по SWOT: 10 партнёров</t>
  </si>
  <si>
    <t xml:space="preserve">Выручка ур. 3 брутто за этап, USD</t>
  </si>
  <si>
    <t xml:space="preserve">Цена KMT 1 млн сум; маржа не учтена</t>
  </si>
  <si>
    <t xml:space="preserve">SAM, событий в год</t>
  </si>
  <si>
    <t xml:space="preserve">Доступный рынок</t>
  </si>
  <si>
    <t xml:space="preserve">Потолок рынка официальных оценок квартир Ташкента</t>
  </si>
  <si>
    <t xml:space="preserve">Доля SAM, берущаяся заказами за год (снизу вверх)</t>
  </si>
  <si>
    <t xml:space="preserve">Проверка правдоподобия: значения &gt;10% нереалистичны для нового канала</t>
  </si>
  <si>
    <t xml:space="preserve">Правило проекта: если методы расходятся больше чем вдвое — не усреднять, искать причину («оценка не сошлась»).</t>
  </si>
  <si>
    <t xml:space="preserve">Сравнение двух методов</t>
  </si>
  <si>
    <t xml:space="preserve">Вывод</t>
  </si>
  <si>
    <t xml:space="preserve">Расчёты/мес: снизу вверх ÷ сверху вниз</t>
  </si>
  <si>
    <t xml:space="preserve">Если ×&gt;2 — воронка снизу вверх оптимистичнее ёмкости рынка (или доля HomePrice занижена).</t>
  </si>
  <si>
    <t xml:space="preserve">Расчёты: статус</t>
  </si>
  <si>
    <t xml:space="preserve">Заказы/мес: снизу вверх ÷ сверху вниз</t>
  </si>
  <si>
    <t xml:space="preserve">Параметры охвата (reach) и воронки задавались независимо; близость — согласованность допущений, а не подтверждение.</t>
  </si>
  <si>
    <t xml:space="preserve">Заказы: статус</t>
  </si>
  <si>
    <t xml:space="preserve">Визиты/мес снизу вверх ÷ органика uybor.uz (ориентир)</t>
  </si>
  <si>
    <t xml:space="preserve">Новый сайт без бюджета не должен превышать установленный портал; ×&gt;1 — тревожный знак.</t>
  </si>
  <si>
    <t xml:space="preserve">Чувствительность заказов ур. 3 (снизу вверх, базовый сценарий) к изменению параметра на ±20%, остальное без изменений.</t>
  </si>
  <si>
    <t xml:space="preserve">Параметр (базовый сценарий)</t>
  </si>
  <si>
    <t xml:space="preserve">×0,8: заказов/мес</t>
  </si>
  <si>
    <t xml:space="preserve">×1,2: заказов/мес</t>
  </si>
  <si>
    <t xml:space="preserve">Δ вниз</t>
  </si>
  <si>
    <t xml:space="preserve">Δ вверх</t>
  </si>
  <si>
    <t xml:space="preserve">Размах</t>
  </si>
  <si>
    <t xml:space="preserve">Органические визиты</t>
  </si>
  <si>
    <t xml:space="preserve">Подписчики Telegram</t>
  </si>
  <si>
    <t xml:space="preserve">Число партнёров</t>
  </si>
  <si>
    <t xml:space="preserve">Доля расчётов → обращение</t>
  </si>
  <si>
    <t xml:space="preserve">Доля обращений → заказ</t>
  </si>
  <si>
    <t xml:space="preserve">Заказов от партнёра в месяц</t>
  </si>
  <si>
    <t xml:space="preserve">Базовый заказов/мес (контроль, должен совпасть с листом «СнизуВверх»)</t>
  </si>
  <si>
    <t xml:space="preserve">Вывод: заказы пропорциональны произведению трёх долей воронки (расчёт × обращение × заказ); ни одна из них не измерена — именно их надо замерить первыми.</t>
  </si>
  <si>
    <t xml:space="preserve">Масштаб аудитории конкурентов по открытым оценкам. Прямых данных о посещаемости STAI и UyScan, поисковых запросах и Telegram-каналах в открытом доступе не найдено.</t>
  </si>
  <si>
    <t xml:space="preserve">Игрок</t>
  </si>
  <si>
    <t xml:space="preserve">Источник</t>
  </si>
  <si>
    <t xml:space="preserve">Дата / период</t>
  </si>
  <si>
    <t xml:space="preserve">Комментарий</t>
  </si>
  <si>
    <t xml:space="preserve">OLX.uz</t>
  </si>
  <si>
    <t xml:space="preserve">Органический поисковый трафик (все категории)</t>
  </si>
  <si>
    <t xml:space="preserve">AhrefsTop, оценка</t>
  </si>
  <si>
    <t xml:space="preserve">Брендовые запросы: «olx» 147 тыс./мес, «olx uz» 109 тыс./мес (объём запросов, там же).</t>
  </si>
  <si>
    <t xml:space="preserve">Semrush: «Traffic» 6,51 млн (период не указан)</t>
  </si>
  <si>
    <t xml:space="preserve">https://www.semrush.com/website/olx.uz/overview/</t>
  </si>
  <si>
    <t xml:space="preserve">сент. 2026</t>
  </si>
  <si>
    <t xml:space="preserve">[проверить]</t>
  </si>
  <si>
    <t xml:space="preserve">Страница без детализации; период и тип трафика не указаны — не использовать в расчёте.</t>
  </si>
  <si>
    <t xml:space="preserve">Uybor.uz</t>
  </si>
  <si>
    <t xml:space="preserve">Органический поисковый трафик</t>
  </si>
  <si>
    <t xml:space="preserve">Топ-запросы — брендовые («uy», «уй бор»). Оценка занижает прямой и мобильный трафик.</t>
  </si>
  <si>
    <t xml:space="preserve">Realting.uz</t>
  </si>
  <si>
    <t xml:space="preserve">Площадка международная; Узбекистан 95,5%.</t>
  </si>
  <si>
    <t xml:space="preserve">UyScan</t>
  </si>
  <si>
    <t xml:space="preserve">Объявлений Ташкента после склейки дублей</t>
  </si>
  <si>
    <t xml:space="preserve">uyscan.uz, наблюдение</t>
  </si>
  <si>
    <t xml:space="preserve">Посещаемость, подписчики @UyScanBot и канала не опубликованы.</t>
  </si>
  <si>
    <t xml:space="preserve">STAI.UZ</t>
  </si>
  <si>
    <t xml:space="preserve">Объектов в базе</t>
  </si>
  <si>
    <t xml:space="preserve">Профиль 12_Business/competitors/stai-uz.md</t>
  </si>
  <si>
    <t xml:space="preserve">Посещаемость и число отчётов не найдены.</t>
  </si>
  <si>
    <t xml:space="preserve">Telegram</t>
  </si>
  <si>
    <t xml:space="preserve">Пользователей в Узбекистане</t>
  </si>
  <si>
    <t xml:space="preserve">Kursiv через 01_PEST.md</t>
  </si>
  <si>
    <t xml:space="preserve">Размеры тематических каналов недвижимости Ташкента в открытом поиске не найдены (tgstat/telemetr не отдали данных).</t>
  </si>
  <si>
    <t xml:space="preserve">Даже у установленных порталов органический поиск по оценкам Ahrefs — единицы–десятки тысяч визитов в месяц; брендовый поиск доминирует. Это верхний ориентир для нового сайта без бюджета.</t>
  </si>
  <si>
    <t xml:space="preserve">Запрос данных у владельца и KMT, а также внешние источники (Темур / KMT / Азизбек / юрист)</t>
  </si>
  <si>
    <t xml:space="preserve">№</t>
  </si>
  <si>
    <t xml:space="preserve">Что нужно</t>
  </si>
  <si>
    <t xml:space="preserve">У кого</t>
  </si>
  <si>
    <t xml:space="preserve">Как получить</t>
  </si>
  <si>
    <t xml:space="preserve">Какой параметр заменяет</t>
  </si>
  <si>
    <t xml:space="preserve">Приоритет</t>
  </si>
  <si>
    <t xml:space="preserve">Число обращений в KMT по месяцам за последние 12 мес., с разбивкой по цели: ипотека / налог (массовая оценка) / наследство / суд / продажа / прочее</t>
  </si>
  <si>
    <t xml:space="preserve">KMT (Темур)</t>
  </si>
  <si>
    <t xml:space="preserve">Выгрузка из CRM или журнала заявок; если CRM нет — ручной подсчёт по почте/мессенджерам</t>
  </si>
  <si>
    <t xml:space="preserve">reach, tax_ord, ch_sec, inh_ord, court_sh</t>
  </si>
  <si>
    <t xml:space="preserve">P0</t>
  </si>
  <si>
    <t xml:space="preserve">Число заказов отчётов KMT по квартирам Ташкента за 12 мес. и средний чек, срок, маржа (задача L7)</t>
  </si>
  <si>
    <t xml:space="preserve">KMT</t>
  </si>
  <si>
    <t xml:space="preserve">Бухучёт/реестр отчётов</t>
  </si>
  <si>
    <t xml:space="preserve">price3, ord, оценка доли SAM</t>
  </si>
  <si>
    <t xml:space="preserve">Источники лидов KMT: откуда приходят обращения (поиск, знакомые, банки, брокеры, Telegram, реклама)</t>
  </si>
  <si>
    <t xml:space="preserve">Вопрос при каждом обращении 4 недели; поле «источник»</t>
  </si>
  <si>
    <t xml:space="preserve">org, tg_subs, pv, p_ord</t>
  </si>
  <si>
    <t xml:space="preserve">Доля налоговой темы среди обращений за последние 6 недель (с 05.09.2026) и число людей, готовых заказать оценку</t>
  </si>
  <si>
    <t xml:space="preserve">Подсчёт обращений с 05.09; 5 дословных вопросов</t>
  </si>
  <si>
    <t xml:space="preserve">tax_dis, tax_ord, wave_reach</t>
  </si>
  <si>
    <t xml:space="preserve">Поисковые запросы по теме (рус. и узб.): «оценка квартиры Ташкент», «квартира баҳолаш», «цена кв.м Ташкент», «налог на имущество квартира», «кадастровая стоимость», «наследство квартира оценка»</t>
  </si>
  <si>
    <t xml:space="preserve">Азизбек / Темур</t>
  </si>
  <si>
    <t xml:space="preserve">Яндекс Вордстат (регион Ташкент), Google Keyword Planner, Google Trends, Search Console после запуска; AhrefsTop — только оценка</t>
  </si>
  <si>
    <t xml:space="preserve">org, calc, adopt</t>
  </si>
  <si>
    <t xml:space="preserve">Размеры 10–15 Telegram-каналов и ботов по недвижимости и ипотеке Ташкента (подписчики, охват поста, цена рекламы)</t>
  </si>
  <si>
    <t xml:space="preserve">Азизбек</t>
  </si>
  <si>
    <t xml:space="preserve">tgstat.com, telemetr.me, ручной просмотр; запрос цен рекламы у админов</t>
  </si>
  <si>
    <t xml:space="preserve">tg_subs, tg_rate</t>
  </si>
  <si>
    <t xml:space="preserve">P1</t>
  </si>
  <si>
    <t xml:space="preserve">Число ипотечных кредитов и оценок залога по Ташкенту (по числу, вторичка/первичка), долю заёмщиков, выбирающих оценщика</t>
  </si>
  <si>
    <t xml:space="preserve">Банки, ипотечные брокеры (связи Темура), ЦБ</t>
  </si>
  <si>
    <t xml:space="preserve">3–5 интервью; запрос в ЦБ/Минэкономфин: число кредитов по Ташкенту</t>
  </si>
  <si>
    <t xml:space="preserve">m_shT, m_sec, ch_sec, ch_prim</t>
  </si>
  <si>
    <t xml:space="preserve">Число сделок с квартирами в Ташкенте за 12 мес. (вторичка и первичка раздельно)</t>
  </si>
  <si>
    <t xml:space="preserve">Агентство кадастра, ЦЭИР, нотариальная палата</t>
  </si>
  <si>
    <t xml:space="preserve">Официальный запрос; открытые данные ЦЭИР по месяцам</t>
  </si>
  <si>
    <t xml:space="preserve">sh_T, sh_apt</t>
  </si>
  <si>
    <t xml:space="preserve">Число наследственных дел с квартирой и судебных споров о разделе жилья в Ташкенте</t>
  </si>
  <si>
    <t xml:space="preserve">Нотариальная палата, Верховный суд</t>
  </si>
  <si>
    <t xml:space="preserve">Запрос; интервью 2–3 нотариуса</t>
  </si>
  <si>
    <t xml:space="preserve">dead_own, inh_ord, court_sh, court_oth</t>
  </si>
  <si>
    <t xml:space="preserve">P2</t>
  </si>
  <si>
    <t xml:space="preserve">Число оценочных организаций и оценщиков, цены банковских оценок квартир</t>
  </si>
  <si>
    <t xml:space="preserve">Реестр, 5 оценочных компаний</t>
  </si>
  <si>
    <t xml:space="preserve">Звонки-«тайный покупатель» без оплаты; реестр</t>
  </si>
  <si>
    <t xml:space="preserve">price3, p_ap</t>
  </si>
  <si>
    <t xml:space="preserve">Сроки и юридический статус независимой оценки при оспаривании массовой оценки (закон «О массовой оценке»)</t>
  </si>
  <si>
    <t xml:space="preserve">Юрист (Р. Навруз-зода)</t>
  </si>
  <si>
    <t xml:space="preserve">Заключение по тексту закона после принятия</t>
  </si>
  <si>
    <t xml:space="preserve">tax_leg, tax_win</t>
  </si>
  <si>
    <t xml:space="preserve">Письменное подтверждение: любой банк принимает отчёт KMT</t>
  </si>
  <si>
    <t xml:space="preserve">KMT / банки</t>
  </si>
  <si>
    <t xml:space="preserve">Письма 3 банков</t>
  </si>
  <si>
    <t xml:space="preserve">Первые 100 реальных расчётов: воронка по шагам (посетитель → расчёт → клик «заказать»)</t>
  </si>
  <si>
    <t xml:space="preserve">Азизбек (аналитика)</t>
  </si>
  <si>
    <t xml:space="preserve">События E2 после запуска</t>
  </si>
  <si>
    <t xml:space="preserve">calc, cont, ord</t>
  </si>
  <si>
    <t xml:space="preserve">Контроль целостности и правдоподобия (формулы)</t>
  </si>
  <si>
    <t xml:space="preserve">Порог / ожидание</t>
  </si>
  <si>
    <t xml:space="preserve">Статус</t>
  </si>
  <si>
    <t xml:space="preserve">Средний чек ипотеки: 2025 (D7÷(D1×D6)) к I пол. 2026 (D9÷D8)</t>
  </si>
  <si>
    <t xml:space="preserve">0,9–1,1</t>
  </si>
  <si>
    <t xml:space="preserve">Сверка двух независимых способов оценки числа ипотек по стране.</t>
  </si>
  <si>
    <t xml:space="preserve">Доля Ташкента: по объёму ипотеки (D10÷D9) минус по сделкам (D5)</t>
  </si>
  <si>
    <t xml:space="preserve">|разница| &lt; 0,05</t>
  </si>
  <si>
    <t xml:space="preserve">Согласованность двух долей Ташкента.</t>
  </si>
  <si>
    <t xml:space="preserve">Квартир в массовой оценке (D15) ÷ квартир в МКД на 01.01.2025 (D14)</t>
  </si>
  <si>
    <t xml:space="preserve">0,95–1,25</t>
  </si>
  <si>
    <t xml:space="preserve">Фонд на 2025 г. и охват 2026 г. должны быть близки.</t>
  </si>
  <si>
    <t xml:space="preserve">Оборот фонда по базовому сценарию (сделки с квартирами ÷ фонд)</t>
  </si>
  <si>
    <t xml:space="preserve">&lt; 12% в год</t>
  </si>
  <si>
    <t xml:space="preserve">Вероятно включены первичные продажи новостроек и дома; число Ташкента завышено [проверить].</t>
  </si>
  <si>
    <t xml:space="preserve">Ипотек Jan–May (Минэкономфин, D13) ÷ Jan–Jun (ЦБ, D8)</t>
  </si>
  <si>
    <t xml:space="preserve">≈ 0,83 (5/6)</t>
  </si>
  <si>
    <t xml:space="preserve">Источники считают по-разному (D13 вдвое меньше ожидаемого). Используем ЦБ (D8); различие — в «Запросе данных».</t>
  </si>
  <si>
    <t xml:space="preserve">Доли ответивших: согласны + не согласны (D19)</t>
  </si>
  <si>
    <t xml:space="preserve">Контроль.</t>
  </si>
  <si>
    <t xml:space="preserve">Осторожный ≤ базовый ≤ оптимистичный: заказы/мес (снизу вверх)</t>
  </si>
  <si>
    <t xml:space="preserve">порядок</t>
  </si>
  <si>
    <t xml:space="preserve">Монотонность сценариев.</t>
  </si>
  <si>
    <t xml:space="preserve">Осторожный ≤ базовый ≤ оптимистичный: SAM, событий в год</t>
  </si>
  <si>
    <t xml:space="preserve">SAM ≤ TAM (базовый)</t>
  </si>
  <si>
    <t xml:space="preserve">≤ 1</t>
  </si>
  <si>
    <t xml:space="preserve">Логика.</t>
  </si>
  <si>
    <t xml:space="preserve">Годовая доля SAM, берущаяся заказами (базовый)</t>
  </si>
  <si>
    <t xml:space="preserve">&lt; 10%</t>
  </si>
  <si>
    <t xml:space="preserve">Правдоподобие для нового канала.</t>
  </si>
  <si>
    <t xml:space="preserve">Чувствительность: базовый заказов совпадает с СнизуВверх</t>
  </si>
  <si>
    <t xml:space="preserve">Контроль формулы чувствительности.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</si>
</sst>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0"/>
    <numFmt numFmtId="168" formatCode="0.00%"/>
    <numFmt numFmtId="169" formatCode="#,##0.0"/>
    <numFmt numFmtId="170" formatCode="0.00"/>
    <numFmt numFmtId="171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Заказы ур. 3 в месяц: снизу вверх и сверху вниз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Сценарии!A6</c:f>
              <c:strCache>
                <c:ptCount val="1"/>
                <c:pt idx="0">
                  <c:v>Заказов ур. 3 в месяц (снизу вверх)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Сценарии!$B$3:$D$3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Сценарии!$B$6:$D$6</c:f>
              <c:numCache>
                <c:formatCode>#,##0.0</c:formatCode>
                <c:ptCount val="3"/>
                <c:pt idx="0">
                  <c:v>0.28976</c:v>
                </c:pt>
                <c:pt idx="1">
                  <c:v>4.25918</c:v>
                </c:pt>
                <c:pt idx="2">
                  <c:v>35.3</c:v>
                </c:pt>
              </c:numCache>
            </c:numRef>
          </c:val>
        </c:ser>
        <c:ser>
          <c:idx val="1"/>
          <c:order val="1"/>
          <c:tx>
            <c:strRef>
              <c:f>Сценарии!A7</c:f>
              <c:strCache>
                <c:ptCount val="1"/>
                <c:pt idx="0">
                  <c:v>Заказов ур. 3 в месяц (сверху вниз)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Сценарии!$B$3:$D$3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Сценарии!$B$7:$D$7</c:f>
              <c:numCache>
                <c:formatCode>#,##0.0</c:formatCode>
                <c:ptCount val="3"/>
                <c:pt idx="0">
                  <c:v>0.332452342470261</c:v>
                </c:pt>
                <c:pt idx="1">
                  <c:v>5.01876082195788</c:v>
                </c:pt>
                <c:pt idx="2">
                  <c:v>44.1219011789034</c:v>
                </c:pt>
              </c:numCache>
            </c:numRef>
          </c:val>
        </c:ser>
        <c:gapWidth val="150"/>
        <c:overlap val="0"/>
        <c:axId val="43534618"/>
        <c:axId val="34033449"/>
      </c:barChart>
      <c:catAx>
        <c:axId val="43534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33449"/>
        <c:crosses val="autoZero"/>
        <c:auto val="1"/>
        <c:lblAlgn val="ctr"/>
        <c:lblOffset val="100"/>
        <c:noMultiLvlLbl val="0"/>
      </c:catAx>
      <c:valAx>
        <c:axId val="34033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заказов/мес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34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2</xdr:col>
      <xdr:colOff>120960</xdr:colOff>
      <xdr:row>33</xdr:row>
      <xdr:rowOff>21960</xdr:rowOff>
    </xdr:to>
    <xdr:graphicFrame>
      <xdr:nvGraphicFramePr>
        <xdr:cNvPr id="0" name="Chart 1"/>
        <xdr:cNvGraphicFramePr/>
      </xdr:nvGraphicFramePr>
      <xdr:xfrm>
        <a:off x="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3" t="s">
        <v>9</v>
      </c>
    </row>
    <row r="3" customFormat="false" ht="23.85" hidden="false" customHeight="fals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customFormat="false" ht="23.85" hidden="false" customHeight="false" outlineLevel="0" collapsed="false">
      <c r="A4" s="5" t="s">
        <v>19</v>
      </c>
      <c r="B4" s="5" t="s">
        <v>20</v>
      </c>
      <c r="C4" s="6" t="n">
        <v>319500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</row>
    <row r="5" customFormat="false" ht="15" hidden="false" customHeight="false" outlineLevel="0" collapsed="false">
      <c r="A5" s="5" t="s">
        <v>27</v>
      </c>
      <c r="B5" s="5" t="s">
        <v>28</v>
      </c>
      <c r="C5" s="6" t="n">
        <v>89700</v>
      </c>
      <c r="D5" s="5" t="s">
        <v>21</v>
      </c>
      <c r="E5" s="5" t="s">
        <v>29</v>
      </c>
      <c r="F5" s="5" t="s">
        <v>23</v>
      </c>
      <c r="G5" s="5" t="s">
        <v>30</v>
      </c>
      <c r="H5" s="5" t="s">
        <v>25</v>
      </c>
      <c r="I5" s="5"/>
    </row>
    <row r="6" customFormat="false" ht="23.85" hidden="false" customHeight="false" outlineLevel="0" collapsed="false">
      <c r="A6" s="5" t="s">
        <v>31</v>
      </c>
      <c r="B6" s="5" t="s">
        <v>32</v>
      </c>
      <c r="C6" s="6" t="n">
        <v>171000</v>
      </c>
      <c r="D6" s="5" t="s">
        <v>21</v>
      </c>
      <c r="E6" s="5" t="s">
        <v>33</v>
      </c>
      <c r="F6" s="5" t="s">
        <v>34</v>
      </c>
      <c r="G6" s="5" t="s">
        <v>35</v>
      </c>
      <c r="H6" s="5" t="s">
        <v>25</v>
      </c>
      <c r="I6" s="5" t="s">
        <v>36</v>
      </c>
    </row>
    <row r="7" customFormat="false" ht="15" hidden="false" customHeight="false" outlineLevel="0" collapsed="false">
      <c r="A7" s="5" t="s">
        <v>37</v>
      </c>
      <c r="B7" s="5" t="s">
        <v>38</v>
      </c>
      <c r="C7" s="6" t="n">
        <v>7800</v>
      </c>
      <c r="D7" s="5" t="s">
        <v>21</v>
      </c>
      <c r="E7" s="5" t="s">
        <v>29</v>
      </c>
      <c r="F7" s="5" t="s">
        <v>34</v>
      </c>
      <c r="G7" s="5" t="s">
        <v>39</v>
      </c>
      <c r="H7" s="5" t="s">
        <v>25</v>
      </c>
      <c r="I7" s="5" t="s">
        <v>40</v>
      </c>
    </row>
    <row r="8" customFormat="false" ht="15" hidden="false" customHeight="false" outlineLevel="0" collapsed="false">
      <c r="A8" s="5" t="s">
        <v>41</v>
      </c>
      <c r="B8" s="5" t="s">
        <v>42</v>
      </c>
      <c r="C8" s="7" t="n">
        <v>0.308</v>
      </c>
      <c r="D8" s="5" t="s">
        <v>43</v>
      </c>
      <c r="E8" s="5" t="s">
        <v>29</v>
      </c>
      <c r="F8" s="5" t="s">
        <v>34</v>
      </c>
      <c r="G8" s="5" t="s">
        <v>39</v>
      </c>
      <c r="H8" s="5" t="s">
        <v>25</v>
      </c>
      <c r="I8" s="5" t="s">
        <v>44</v>
      </c>
    </row>
    <row r="9" customFormat="false" ht="15" hidden="false" customHeight="false" outlineLevel="0" collapsed="false">
      <c r="A9" s="5" t="s">
        <v>45</v>
      </c>
      <c r="B9" s="5" t="s">
        <v>46</v>
      </c>
      <c r="C9" s="7" t="n">
        <v>0.22</v>
      </c>
      <c r="D9" s="5" t="s">
        <v>43</v>
      </c>
      <c r="E9" s="5" t="s">
        <v>47</v>
      </c>
      <c r="F9" s="5" t="s">
        <v>23</v>
      </c>
      <c r="G9" s="5" t="s">
        <v>24</v>
      </c>
      <c r="H9" s="5" t="s">
        <v>25</v>
      </c>
      <c r="I9" s="5" t="s">
        <v>48</v>
      </c>
    </row>
    <row r="10" customFormat="false" ht="15" hidden="false" customHeight="false" outlineLevel="0" collapsed="false">
      <c r="A10" s="5" t="s">
        <v>49</v>
      </c>
      <c r="B10" s="5" t="s">
        <v>50</v>
      </c>
      <c r="C10" s="8" t="n">
        <v>21.2</v>
      </c>
      <c r="D10" s="5" t="s">
        <v>51</v>
      </c>
      <c r="E10" s="5" t="s">
        <v>29</v>
      </c>
      <c r="F10" s="5" t="s">
        <v>23</v>
      </c>
      <c r="G10" s="5" t="s">
        <v>24</v>
      </c>
      <c r="H10" s="5" t="s">
        <v>25</v>
      </c>
      <c r="I10" s="5" t="s">
        <v>52</v>
      </c>
    </row>
    <row r="11" customFormat="false" ht="15" hidden="false" customHeight="false" outlineLevel="0" collapsed="false">
      <c r="A11" s="5" t="s">
        <v>53</v>
      </c>
      <c r="B11" s="5" t="s">
        <v>54</v>
      </c>
      <c r="C11" s="6" t="n">
        <v>42575</v>
      </c>
      <c r="D11" s="5" t="s">
        <v>55</v>
      </c>
      <c r="E11" s="5" t="s">
        <v>56</v>
      </c>
      <c r="F11" s="5" t="s">
        <v>57</v>
      </c>
      <c r="G11" s="5" t="s">
        <v>35</v>
      </c>
      <c r="H11" s="5" t="s">
        <v>25</v>
      </c>
      <c r="I11" s="5"/>
    </row>
    <row r="12" customFormat="false" ht="15" hidden="false" customHeight="false" outlineLevel="0" collapsed="false">
      <c r="A12" s="5" t="s">
        <v>58</v>
      </c>
      <c r="B12" s="5" t="s">
        <v>59</v>
      </c>
      <c r="C12" s="8" t="n">
        <v>13.1</v>
      </c>
      <c r="D12" s="5" t="s">
        <v>51</v>
      </c>
      <c r="E12" s="5" t="s">
        <v>29</v>
      </c>
      <c r="F12" s="5" t="s">
        <v>57</v>
      </c>
      <c r="G12" s="5" t="s">
        <v>35</v>
      </c>
      <c r="H12" s="5" t="s">
        <v>25</v>
      </c>
      <c r="I12" s="5" t="s">
        <v>60</v>
      </c>
    </row>
    <row r="13" customFormat="false" ht="15" hidden="false" customHeight="false" outlineLevel="0" collapsed="false">
      <c r="A13" s="5" t="s">
        <v>61</v>
      </c>
      <c r="B13" s="5" t="s">
        <v>62</v>
      </c>
      <c r="C13" s="8" t="n">
        <v>4.01</v>
      </c>
      <c r="D13" s="5" t="s">
        <v>51</v>
      </c>
      <c r="E13" s="5" t="s">
        <v>29</v>
      </c>
      <c r="F13" s="5" t="s">
        <v>57</v>
      </c>
      <c r="G13" s="5" t="s">
        <v>35</v>
      </c>
      <c r="H13" s="5" t="s">
        <v>25</v>
      </c>
      <c r="I13" s="5" t="s">
        <v>63</v>
      </c>
    </row>
    <row r="14" customFormat="false" ht="15" hidden="false" customHeight="false" outlineLevel="0" collapsed="false">
      <c r="A14" s="5" t="s">
        <v>64</v>
      </c>
      <c r="B14" s="5" t="s">
        <v>65</v>
      </c>
      <c r="C14" s="6" t="n">
        <v>10580</v>
      </c>
      <c r="D14" s="5" t="s">
        <v>55</v>
      </c>
      <c r="E14" s="5" t="s">
        <v>29</v>
      </c>
      <c r="F14" s="5" t="s">
        <v>57</v>
      </c>
      <c r="G14" s="5" t="s">
        <v>35</v>
      </c>
      <c r="H14" s="5" t="s">
        <v>25</v>
      </c>
      <c r="I14" s="5" t="s">
        <v>66</v>
      </c>
    </row>
    <row r="15" customFormat="false" ht="15" hidden="false" customHeight="false" outlineLevel="0" collapsed="false">
      <c r="A15" s="5" t="s">
        <v>67</v>
      </c>
      <c r="B15" s="5" t="s">
        <v>68</v>
      </c>
      <c r="C15" s="6" t="n">
        <v>31995</v>
      </c>
      <c r="D15" s="5" t="s">
        <v>55</v>
      </c>
      <c r="E15" s="5" t="s">
        <v>29</v>
      </c>
      <c r="F15" s="5" t="s">
        <v>57</v>
      </c>
      <c r="G15" s="5" t="s">
        <v>35</v>
      </c>
      <c r="H15" s="5" t="s">
        <v>25</v>
      </c>
      <c r="I15" s="5" t="s">
        <v>69</v>
      </c>
    </row>
    <row r="16" customFormat="false" ht="23.85" hidden="false" customHeight="false" outlineLevel="0" collapsed="false">
      <c r="A16" s="5" t="s">
        <v>70</v>
      </c>
      <c r="B16" s="5" t="s">
        <v>71</v>
      </c>
      <c r="C16" s="6" t="n">
        <v>21553</v>
      </c>
      <c r="D16" s="5" t="s">
        <v>21</v>
      </c>
      <c r="E16" s="5" t="s">
        <v>72</v>
      </c>
      <c r="F16" s="5" t="s">
        <v>73</v>
      </c>
      <c r="G16" s="5" t="s">
        <v>74</v>
      </c>
      <c r="H16" s="5" t="s">
        <v>25</v>
      </c>
      <c r="I16" s="5" t="s">
        <v>75</v>
      </c>
    </row>
    <row r="17" customFormat="false" ht="23.85" hidden="false" customHeight="false" outlineLevel="0" collapsed="false">
      <c r="A17" s="5" t="s">
        <v>76</v>
      </c>
      <c r="B17" s="5" t="s">
        <v>77</v>
      </c>
      <c r="C17" s="6" t="n">
        <v>562700</v>
      </c>
      <c r="D17" s="5" t="s">
        <v>21</v>
      </c>
      <c r="E17" s="5" t="s">
        <v>78</v>
      </c>
      <c r="F17" s="5" t="s">
        <v>79</v>
      </c>
      <c r="G17" s="5" t="s">
        <v>80</v>
      </c>
      <c r="H17" s="5" t="s">
        <v>25</v>
      </c>
      <c r="I17" s="5" t="s">
        <v>81</v>
      </c>
    </row>
    <row r="18" customFormat="false" ht="23.85" hidden="false" customHeight="false" outlineLevel="0" collapsed="false">
      <c r="A18" s="5" t="s">
        <v>82</v>
      </c>
      <c r="B18" s="5" t="s">
        <v>83</v>
      </c>
      <c r="C18" s="6" t="n">
        <v>600000</v>
      </c>
      <c r="D18" s="5" t="s">
        <v>21</v>
      </c>
      <c r="E18" s="5" t="s">
        <v>84</v>
      </c>
      <c r="F18" s="5" t="s">
        <v>85</v>
      </c>
      <c r="G18" s="5" t="s">
        <v>86</v>
      </c>
      <c r="H18" s="5" t="s">
        <v>25</v>
      </c>
      <c r="I18" s="5" t="s">
        <v>87</v>
      </c>
    </row>
    <row r="19" customFormat="false" ht="15" hidden="false" customHeight="false" outlineLevel="0" collapsed="false">
      <c r="A19" s="5" t="s">
        <v>88</v>
      </c>
      <c r="B19" s="5" t="s">
        <v>89</v>
      </c>
      <c r="C19" s="8" t="n">
        <v>57.7</v>
      </c>
      <c r="D19" s="5" t="s">
        <v>51</v>
      </c>
      <c r="E19" s="5" t="s">
        <v>29</v>
      </c>
      <c r="F19" s="5" t="s">
        <v>90</v>
      </c>
      <c r="G19" s="5" t="s">
        <v>91</v>
      </c>
      <c r="H19" s="5" t="s">
        <v>25</v>
      </c>
      <c r="I19" s="5"/>
    </row>
    <row r="20" customFormat="false" ht="23.85" hidden="false" customHeight="false" outlineLevel="0" collapsed="false">
      <c r="A20" s="5" t="s">
        <v>92</v>
      </c>
      <c r="B20" s="5" t="s">
        <v>93</v>
      </c>
      <c r="C20" s="8" t="n">
        <v>426.7</v>
      </c>
      <c r="D20" s="5" t="s">
        <v>51</v>
      </c>
      <c r="E20" s="5" t="s">
        <v>29</v>
      </c>
      <c r="F20" s="5" t="s">
        <v>90</v>
      </c>
      <c r="G20" s="5" t="s">
        <v>94</v>
      </c>
      <c r="H20" s="5" t="s">
        <v>25</v>
      </c>
      <c r="I20" s="5" t="s">
        <v>95</v>
      </c>
    </row>
    <row r="21" customFormat="false" ht="23.85" hidden="false" customHeight="false" outlineLevel="0" collapsed="false">
      <c r="A21" s="5" t="s">
        <v>96</v>
      </c>
      <c r="B21" s="5" t="s">
        <v>97</v>
      </c>
      <c r="C21" s="6" t="n">
        <v>85000</v>
      </c>
      <c r="D21" s="5" t="s">
        <v>21</v>
      </c>
      <c r="E21" s="5" t="s">
        <v>98</v>
      </c>
      <c r="F21" s="5" t="s">
        <v>99</v>
      </c>
      <c r="G21" s="5" t="s">
        <v>100</v>
      </c>
      <c r="H21" s="5" t="s">
        <v>25</v>
      </c>
      <c r="I21" s="5" t="s">
        <v>101</v>
      </c>
    </row>
    <row r="22" customFormat="false" ht="23.85" hidden="false" customHeight="false" outlineLevel="0" collapsed="false">
      <c r="A22" s="5" t="s">
        <v>102</v>
      </c>
      <c r="B22" s="5" t="s">
        <v>103</v>
      </c>
      <c r="C22" s="6" t="n">
        <v>5000</v>
      </c>
      <c r="D22" s="5" t="s">
        <v>55</v>
      </c>
      <c r="E22" s="5" t="s">
        <v>104</v>
      </c>
      <c r="F22" s="5" t="s">
        <v>105</v>
      </c>
      <c r="G22" s="5" t="s">
        <v>106</v>
      </c>
      <c r="H22" s="5" t="s">
        <v>25</v>
      </c>
      <c r="I22" s="5" t="s">
        <v>107</v>
      </c>
    </row>
    <row r="23" customFormat="false" ht="23.85" hidden="false" customHeight="false" outlineLevel="0" collapsed="false">
      <c r="A23" s="5" t="s">
        <v>108</v>
      </c>
      <c r="B23" s="5" t="s">
        <v>109</v>
      </c>
      <c r="C23" s="7" t="n">
        <v>0.22</v>
      </c>
      <c r="D23" s="5" t="s">
        <v>43</v>
      </c>
      <c r="E23" s="5" t="s">
        <v>29</v>
      </c>
      <c r="F23" s="5" t="s">
        <v>105</v>
      </c>
      <c r="G23" s="5" t="s">
        <v>106</v>
      </c>
      <c r="H23" s="5" t="s">
        <v>25</v>
      </c>
      <c r="I23" s="5" t="s">
        <v>110</v>
      </c>
    </row>
    <row r="24" customFormat="false" ht="23.85" hidden="false" customHeight="false" outlineLevel="0" collapsed="false">
      <c r="A24" s="5" t="s">
        <v>111</v>
      </c>
      <c r="B24" s="5" t="s">
        <v>112</v>
      </c>
      <c r="C24" s="6" t="n">
        <v>60</v>
      </c>
      <c r="D24" s="5" t="s">
        <v>113</v>
      </c>
      <c r="E24" s="5" t="s">
        <v>98</v>
      </c>
      <c r="F24" s="5" t="s">
        <v>99</v>
      </c>
      <c r="G24" s="5" t="s">
        <v>114</v>
      </c>
      <c r="H24" s="5" t="s">
        <v>25</v>
      </c>
      <c r="I24" s="5" t="s">
        <v>115</v>
      </c>
    </row>
    <row r="25" customFormat="false" ht="23.85" hidden="false" customHeight="false" outlineLevel="0" collapsed="false">
      <c r="A25" s="5" t="s">
        <v>116</v>
      </c>
      <c r="B25" s="5" t="s">
        <v>117</v>
      </c>
      <c r="C25" s="6" t="n">
        <v>3</v>
      </c>
      <c r="D25" s="5" t="s">
        <v>118</v>
      </c>
      <c r="E25" s="5" t="s">
        <v>119</v>
      </c>
      <c r="F25" s="5" t="s">
        <v>105</v>
      </c>
      <c r="G25" s="5" t="s">
        <v>120</v>
      </c>
      <c r="H25" s="5" t="s">
        <v>25</v>
      </c>
      <c r="I25" s="5" t="s">
        <v>121</v>
      </c>
    </row>
    <row r="26" customFormat="false" ht="23.85" hidden="false" customHeight="false" outlineLevel="0" collapsed="false">
      <c r="A26" s="5" t="s">
        <v>122</v>
      </c>
      <c r="B26" s="5" t="s">
        <v>123</v>
      </c>
      <c r="C26" s="6" t="n">
        <v>3178100</v>
      </c>
      <c r="D26" s="5" t="s">
        <v>55</v>
      </c>
      <c r="E26" s="5" t="s">
        <v>124</v>
      </c>
      <c r="F26" s="5" t="s">
        <v>125</v>
      </c>
      <c r="G26" s="5" t="s">
        <v>126</v>
      </c>
      <c r="H26" s="5" t="s">
        <v>25</v>
      </c>
      <c r="I26" s="5"/>
    </row>
    <row r="27" customFormat="false" ht="15" hidden="false" customHeight="false" outlineLevel="0" collapsed="false">
      <c r="A27" s="5" t="s">
        <v>127</v>
      </c>
      <c r="B27" s="5" t="s">
        <v>128</v>
      </c>
      <c r="C27" s="6" t="n">
        <v>38236704</v>
      </c>
      <c r="D27" s="5" t="s">
        <v>55</v>
      </c>
      <c r="E27" s="5" t="s">
        <v>29</v>
      </c>
      <c r="F27" s="5" t="s">
        <v>125</v>
      </c>
      <c r="G27" s="5" t="s">
        <v>126</v>
      </c>
      <c r="H27" s="5" t="s">
        <v>25</v>
      </c>
      <c r="I27" s="5"/>
    </row>
    <row r="28" customFormat="false" ht="23.85" hidden="false" customHeight="false" outlineLevel="0" collapsed="false">
      <c r="A28" s="5" t="s">
        <v>129</v>
      </c>
      <c r="B28" s="5" t="s">
        <v>130</v>
      </c>
      <c r="C28" s="6" t="n">
        <v>37544</v>
      </c>
      <c r="D28" s="5" t="s">
        <v>21</v>
      </c>
      <c r="E28" s="5" t="s">
        <v>131</v>
      </c>
      <c r="F28" s="5" t="s">
        <v>132</v>
      </c>
      <c r="G28" s="5" t="s">
        <v>24</v>
      </c>
      <c r="H28" s="5" t="s">
        <v>25</v>
      </c>
      <c r="I28" s="5" t="s">
        <v>133</v>
      </c>
    </row>
    <row r="29" customFormat="false" ht="23.85" hidden="false" customHeight="false" outlineLevel="0" collapsed="false">
      <c r="A29" s="5" t="s">
        <v>134</v>
      </c>
      <c r="B29" s="5" t="s">
        <v>135</v>
      </c>
      <c r="C29" s="8" t="n">
        <v>16.5</v>
      </c>
      <c r="D29" s="5" t="s">
        <v>136</v>
      </c>
      <c r="E29" s="5" t="s">
        <v>137</v>
      </c>
      <c r="F29" s="5" t="s">
        <v>138</v>
      </c>
      <c r="G29" s="5" t="s">
        <v>94</v>
      </c>
      <c r="H29" s="5" t="s">
        <v>25</v>
      </c>
      <c r="I29" s="5" t="s">
        <v>139</v>
      </c>
    </row>
    <row r="30" customFormat="false" ht="15" hidden="false" customHeight="false" outlineLevel="0" collapsed="false">
      <c r="A30" s="5" t="s">
        <v>140</v>
      </c>
      <c r="B30" s="5" t="s">
        <v>141</v>
      </c>
      <c r="C30" s="6" t="n">
        <v>12055.9</v>
      </c>
      <c r="D30" s="5" t="s">
        <v>142</v>
      </c>
      <c r="E30" s="5" t="s">
        <v>143</v>
      </c>
      <c r="F30" s="5" t="s">
        <v>144</v>
      </c>
      <c r="G30" s="5" t="s">
        <v>145</v>
      </c>
      <c r="H30" s="5" t="s">
        <v>25</v>
      </c>
      <c r="I30" s="5"/>
    </row>
    <row r="31" customFormat="false" ht="23.85" hidden="false" customHeight="false" outlineLevel="0" collapsed="false">
      <c r="A31" s="5" t="s">
        <v>146</v>
      </c>
      <c r="B31" s="5" t="s">
        <v>147</v>
      </c>
      <c r="C31" s="6" t="n">
        <v>1000000</v>
      </c>
      <c r="D31" s="5" t="s">
        <v>148</v>
      </c>
      <c r="E31" s="5" t="s">
        <v>149</v>
      </c>
      <c r="F31" s="5" t="s">
        <v>150</v>
      </c>
      <c r="G31" s="5" t="s">
        <v>151</v>
      </c>
      <c r="H31" s="5" t="s">
        <v>152</v>
      </c>
      <c r="I31" s="5" t="s">
        <v>153</v>
      </c>
    </row>
    <row r="32" customFormat="false" ht="23.85" hidden="false" customHeight="false" outlineLevel="0" collapsed="false">
      <c r="A32" s="5" t="s">
        <v>154</v>
      </c>
      <c r="B32" s="5" t="s">
        <v>155</v>
      </c>
      <c r="C32" s="9" t="n">
        <v>0.0036</v>
      </c>
      <c r="D32" s="5" t="s">
        <v>43</v>
      </c>
      <c r="E32" s="5" t="s">
        <v>156</v>
      </c>
      <c r="F32" s="5" t="s">
        <v>157</v>
      </c>
      <c r="G32" s="5" t="s">
        <v>158</v>
      </c>
      <c r="H32" s="5" t="s">
        <v>25</v>
      </c>
      <c r="I32" s="5" t="s">
        <v>159</v>
      </c>
    </row>
    <row r="33" customFormat="false" ht="23.85" hidden="false" customHeight="false" outlineLevel="0" collapsed="false">
      <c r="A33" s="5" t="s">
        <v>160</v>
      </c>
      <c r="B33" s="5" t="s">
        <v>161</v>
      </c>
      <c r="C33" s="6" t="n">
        <v>7000</v>
      </c>
      <c r="D33" s="5" t="s">
        <v>162</v>
      </c>
      <c r="E33" s="5" t="s">
        <v>163</v>
      </c>
      <c r="F33" s="5" t="s">
        <v>164</v>
      </c>
      <c r="G33" s="5" t="s">
        <v>164</v>
      </c>
      <c r="H33" s="5" t="s">
        <v>165</v>
      </c>
      <c r="I33" s="5" t="s">
        <v>166</v>
      </c>
    </row>
    <row r="34" customFormat="false" ht="15" hidden="false" customHeight="false" outlineLevel="0" collapsed="false">
      <c r="A34" s="5" t="s">
        <v>167</v>
      </c>
      <c r="B34" s="5" t="s">
        <v>168</v>
      </c>
      <c r="C34" s="6" t="n">
        <v>11000</v>
      </c>
      <c r="D34" s="5" t="s">
        <v>162</v>
      </c>
      <c r="E34" s="5" t="s">
        <v>169</v>
      </c>
      <c r="F34" s="5" t="s">
        <v>164</v>
      </c>
      <c r="G34" s="5" t="s">
        <v>164</v>
      </c>
      <c r="H34" s="5" t="s">
        <v>165</v>
      </c>
      <c r="I34" s="5" t="s">
        <v>170</v>
      </c>
    </row>
    <row r="35" customFormat="false" ht="23.85" hidden="false" customHeight="false" outlineLevel="0" collapsed="false">
      <c r="A35" s="5" t="s">
        <v>171</v>
      </c>
      <c r="B35" s="5" t="s">
        <v>172</v>
      </c>
      <c r="C35" s="6" t="n">
        <v>1600000</v>
      </c>
      <c r="D35" s="5" t="s">
        <v>162</v>
      </c>
      <c r="E35" s="5" t="s">
        <v>173</v>
      </c>
      <c r="F35" s="5" t="s">
        <v>164</v>
      </c>
      <c r="G35" s="5" t="s">
        <v>164</v>
      </c>
      <c r="H35" s="5" t="s">
        <v>165</v>
      </c>
      <c r="I35" s="5" t="s">
        <v>174</v>
      </c>
    </row>
    <row r="36" customFormat="false" ht="23.85" hidden="false" customHeight="false" outlineLevel="0" collapsed="false">
      <c r="A36" s="5" t="s">
        <v>175</v>
      </c>
      <c r="B36" s="5" t="s">
        <v>176</v>
      </c>
      <c r="C36" s="6" t="n">
        <v>29821</v>
      </c>
      <c r="D36" s="5" t="s">
        <v>21</v>
      </c>
      <c r="E36" s="5" t="s">
        <v>177</v>
      </c>
      <c r="F36" s="5" t="s">
        <v>150</v>
      </c>
      <c r="G36" s="5" t="s">
        <v>178</v>
      </c>
      <c r="H36" s="5" t="s">
        <v>25</v>
      </c>
      <c r="I36" s="5" t="s">
        <v>179</v>
      </c>
    </row>
    <row r="37" customFormat="false" ht="23.85" hidden="false" customHeight="false" outlineLevel="0" collapsed="false">
      <c r="A37" s="5" t="s">
        <v>180</v>
      </c>
      <c r="B37" s="5" t="s">
        <v>181</v>
      </c>
      <c r="C37" s="7" t="n">
        <v>0.634</v>
      </c>
      <c r="D37" s="5" t="s">
        <v>43</v>
      </c>
      <c r="E37" s="5" t="s">
        <v>182</v>
      </c>
      <c r="F37" s="5" t="s">
        <v>183</v>
      </c>
      <c r="G37" s="5" t="s">
        <v>184</v>
      </c>
      <c r="H37" s="5" t="s">
        <v>25</v>
      </c>
      <c r="I37" s="5" t="s">
        <v>185</v>
      </c>
    </row>
    <row r="38" customFormat="false" ht="15" hidden="false" customHeight="false" outlineLevel="0" collapsed="false">
      <c r="A38" s="5" t="s">
        <v>186</v>
      </c>
      <c r="B38" s="5" t="s">
        <v>187</v>
      </c>
      <c r="C38" s="7" t="n">
        <v>0.2</v>
      </c>
      <c r="D38" s="5" t="s">
        <v>43</v>
      </c>
      <c r="E38" s="5" t="s">
        <v>188</v>
      </c>
      <c r="F38" s="5" t="s">
        <v>189</v>
      </c>
      <c r="G38" s="5" t="s">
        <v>190</v>
      </c>
      <c r="H38" s="5" t="s">
        <v>165</v>
      </c>
      <c r="I38" s="5" t="s">
        <v>191</v>
      </c>
    </row>
    <row r="39" customFormat="false" ht="15" hidden="false" customHeight="false" outlineLevel="0" collapsed="false">
      <c r="A39" s="5" t="s">
        <v>192</v>
      </c>
      <c r="B39" s="5" t="s">
        <v>193</v>
      </c>
      <c r="C39" s="7" t="n">
        <v>0.035</v>
      </c>
      <c r="D39" s="5" t="s">
        <v>43</v>
      </c>
      <c r="E39" s="5" t="s">
        <v>194</v>
      </c>
      <c r="F39" s="5" t="s">
        <v>189</v>
      </c>
      <c r="G39" s="5" t="s">
        <v>190</v>
      </c>
      <c r="H39" s="5" t="s">
        <v>165</v>
      </c>
      <c r="I39" s="5" t="s">
        <v>195</v>
      </c>
    </row>
    <row r="40" customFormat="false" ht="23.85" hidden="false" customHeight="false" outlineLevel="0" collapsed="false">
      <c r="A40" s="5" t="s">
        <v>196</v>
      </c>
      <c r="B40" s="5" t="s">
        <v>197</v>
      </c>
      <c r="C40" s="6" t="n">
        <v>25000000</v>
      </c>
      <c r="D40" s="5" t="s">
        <v>55</v>
      </c>
      <c r="E40" s="5" t="s">
        <v>198</v>
      </c>
      <c r="F40" s="5" t="s">
        <v>199</v>
      </c>
      <c r="G40" s="5" t="s">
        <v>151</v>
      </c>
      <c r="H40" s="5" t="s">
        <v>152</v>
      </c>
      <c r="I40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3" t="s">
        <v>201</v>
      </c>
    </row>
    <row r="3" customFormat="false" ht="23.85" hidden="false" customHeight="false" outlineLevel="0" collapsed="false">
      <c r="A3" s="4" t="s">
        <v>10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13</v>
      </c>
      <c r="G3" s="4" t="s">
        <v>17</v>
      </c>
      <c r="H3" s="4" t="s">
        <v>206</v>
      </c>
    </row>
    <row r="4" customFormat="false" ht="23.85" hidden="false" customHeight="false" outlineLevel="0" collapsed="false">
      <c r="A4" s="5" t="s">
        <v>207</v>
      </c>
      <c r="B4" s="5" t="s">
        <v>208</v>
      </c>
      <c r="C4" s="7" t="n">
        <v>0.25</v>
      </c>
      <c r="D4" s="10" t="n">
        <f aca="false">Данные!$C$8</f>
        <v>0.308</v>
      </c>
      <c r="E4" s="10" t="n">
        <f aca="false">Данные!$C$8</f>
        <v>0.308</v>
      </c>
      <c r="F4" s="5" t="s">
        <v>43</v>
      </c>
      <c r="G4" s="5" t="s">
        <v>165</v>
      </c>
      <c r="H4" s="5" t="s">
        <v>209</v>
      </c>
    </row>
    <row r="5" customFormat="false" ht="23.85" hidden="false" customHeight="false" outlineLevel="0" collapsed="false">
      <c r="A5" s="5" t="s">
        <v>210</v>
      </c>
      <c r="B5" s="5" t="s">
        <v>211</v>
      </c>
      <c r="C5" s="11" t="n">
        <v>0.7</v>
      </c>
      <c r="D5" s="11" t="n">
        <v>0.8</v>
      </c>
      <c r="E5" s="11" t="n">
        <v>0.9</v>
      </c>
      <c r="F5" s="5" t="s">
        <v>43</v>
      </c>
      <c r="G5" s="5" t="s">
        <v>165</v>
      </c>
      <c r="H5" s="5" t="s">
        <v>212</v>
      </c>
    </row>
    <row r="6" customFormat="false" ht="15" hidden="false" customHeight="false" outlineLevel="0" collapsed="false">
      <c r="A6" s="5" t="s">
        <v>213</v>
      </c>
      <c r="B6" s="5" t="s">
        <v>214</v>
      </c>
      <c r="C6" s="7" t="n">
        <v>0</v>
      </c>
      <c r="D6" s="7" t="n">
        <v>0</v>
      </c>
      <c r="E6" s="7" t="n">
        <v>0.1</v>
      </c>
      <c r="F6" s="5" t="s">
        <v>43</v>
      </c>
      <c r="G6" s="5" t="s">
        <v>165</v>
      </c>
      <c r="H6" s="5" t="s">
        <v>215</v>
      </c>
    </row>
    <row r="7" customFormat="false" ht="23.85" hidden="false" customHeight="false" outlineLevel="0" collapsed="false">
      <c r="A7" s="5" t="s">
        <v>216</v>
      </c>
      <c r="B7" s="5" t="s">
        <v>217</v>
      </c>
      <c r="C7" s="11" t="n">
        <v>0.22</v>
      </c>
      <c r="D7" s="11" t="n">
        <v>0.26</v>
      </c>
      <c r="E7" s="12" t="n">
        <f aca="false">Данные!$C$13/Данные!$C$12</f>
        <v>0.306106870229008</v>
      </c>
      <c r="F7" s="5" t="s">
        <v>43</v>
      </c>
      <c r="G7" s="5" t="s">
        <v>165</v>
      </c>
      <c r="H7" s="5" t="s">
        <v>218</v>
      </c>
    </row>
    <row r="8" customFormat="false" ht="15" hidden="false" customHeight="false" outlineLevel="0" collapsed="false">
      <c r="A8" s="5" t="s">
        <v>219</v>
      </c>
      <c r="B8" s="5" t="s">
        <v>220</v>
      </c>
      <c r="C8" s="7" t="n">
        <v>0.25</v>
      </c>
      <c r="D8" s="7" t="n">
        <v>0.3</v>
      </c>
      <c r="E8" s="7" t="n">
        <v>0.4</v>
      </c>
      <c r="F8" s="5" t="s">
        <v>43</v>
      </c>
      <c r="G8" s="5" t="s">
        <v>165</v>
      </c>
      <c r="H8" s="5" t="s">
        <v>221</v>
      </c>
    </row>
    <row r="9" customFormat="false" ht="15" hidden="false" customHeight="false" outlineLevel="0" collapsed="false">
      <c r="A9" s="5" t="s">
        <v>222</v>
      </c>
      <c r="B9" s="5" t="s">
        <v>223</v>
      </c>
      <c r="C9" s="7" t="n">
        <v>0</v>
      </c>
      <c r="D9" s="7" t="n">
        <v>0.2</v>
      </c>
      <c r="E9" s="7" t="n">
        <v>0.4</v>
      </c>
      <c r="F9" s="5" t="s">
        <v>43</v>
      </c>
      <c r="G9" s="5" t="s">
        <v>165</v>
      </c>
      <c r="H9" s="5" t="s">
        <v>224</v>
      </c>
    </row>
    <row r="10" customFormat="false" ht="23.85" hidden="false" customHeight="false" outlineLevel="0" collapsed="false">
      <c r="A10" s="5" t="s">
        <v>225</v>
      </c>
      <c r="B10" s="5" t="s">
        <v>226</v>
      </c>
      <c r="C10" s="11" t="n">
        <v>0.15</v>
      </c>
      <c r="D10" s="11" t="n">
        <v>0.3</v>
      </c>
      <c r="E10" s="11" t="n">
        <v>0.5</v>
      </c>
      <c r="F10" s="5" t="s">
        <v>43</v>
      </c>
      <c r="G10" s="5" t="s">
        <v>165</v>
      </c>
      <c r="H10" s="5" t="s">
        <v>227</v>
      </c>
    </row>
    <row r="11" customFormat="false" ht="15" hidden="false" customHeight="false" outlineLevel="0" collapsed="false">
      <c r="A11" s="5" t="s">
        <v>228</v>
      </c>
      <c r="B11" s="5" t="s">
        <v>229</v>
      </c>
      <c r="C11" s="7" t="n">
        <v>0.02</v>
      </c>
      <c r="D11" s="7" t="n">
        <v>0.05</v>
      </c>
      <c r="E11" s="7" t="n">
        <v>0.1</v>
      </c>
      <c r="F11" s="5" t="s">
        <v>43</v>
      </c>
      <c r="G11" s="5" t="s">
        <v>165</v>
      </c>
      <c r="H11" s="5" t="s">
        <v>230</v>
      </c>
    </row>
    <row r="12" customFormat="false" ht="23.85" hidden="false" customHeight="false" outlineLevel="0" collapsed="false">
      <c r="A12" s="5" t="s">
        <v>231</v>
      </c>
      <c r="B12" s="5" t="s">
        <v>232</v>
      </c>
      <c r="C12" s="13" t="n">
        <v>4.5</v>
      </c>
      <c r="D12" s="13" t="n">
        <v>5</v>
      </c>
      <c r="E12" s="13" t="n">
        <v>5.5</v>
      </c>
      <c r="F12" s="5" t="s">
        <v>233</v>
      </c>
      <c r="G12" s="5" t="s">
        <v>165</v>
      </c>
      <c r="H12" s="5" t="s">
        <v>234</v>
      </c>
    </row>
    <row r="13" customFormat="false" ht="15" hidden="false" customHeight="false" outlineLevel="0" collapsed="false">
      <c r="A13" s="5" t="s">
        <v>235</v>
      </c>
      <c r="B13" s="5" t="s">
        <v>236</v>
      </c>
      <c r="C13" s="7" t="n">
        <v>0.25</v>
      </c>
      <c r="D13" s="7" t="n">
        <v>0.35</v>
      </c>
      <c r="E13" s="7" t="n">
        <v>0.45</v>
      </c>
      <c r="F13" s="5" t="s">
        <v>43</v>
      </c>
      <c r="G13" s="5" t="s">
        <v>165</v>
      </c>
      <c r="H13" s="5" t="s">
        <v>237</v>
      </c>
    </row>
    <row r="14" customFormat="false" ht="15" hidden="false" customHeight="false" outlineLevel="0" collapsed="false">
      <c r="A14" s="5" t="s">
        <v>238</v>
      </c>
      <c r="B14" s="5" t="s">
        <v>239</v>
      </c>
      <c r="C14" s="7" t="n">
        <v>0.1</v>
      </c>
      <c r="D14" s="7" t="n">
        <v>0.2</v>
      </c>
      <c r="E14" s="7" t="n">
        <v>0.3</v>
      </c>
      <c r="F14" s="5" t="s">
        <v>43</v>
      </c>
      <c r="G14" s="5" t="s">
        <v>165</v>
      </c>
      <c r="H14" s="5" t="s">
        <v>240</v>
      </c>
    </row>
    <row r="15" customFormat="false" ht="15" hidden="false" customHeight="false" outlineLevel="0" collapsed="false">
      <c r="A15" s="5" t="s">
        <v>241</v>
      </c>
      <c r="B15" s="5" t="s">
        <v>242</v>
      </c>
      <c r="C15" s="7" t="n">
        <v>0.03</v>
      </c>
      <c r="D15" s="7" t="n">
        <v>0.06</v>
      </c>
      <c r="E15" s="7" t="n">
        <v>0.1</v>
      </c>
      <c r="F15" s="5" t="s">
        <v>43</v>
      </c>
      <c r="G15" s="5" t="s">
        <v>165</v>
      </c>
      <c r="H15" s="5" t="s">
        <v>243</v>
      </c>
    </row>
    <row r="16" customFormat="false" ht="15" hidden="false" customHeight="false" outlineLevel="0" collapsed="false">
      <c r="A16" s="5" t="s">
        <v>244</v>
      </c>
      <c r="B16" s="5" t="s">
        <v>245</v>
      </c>
      <c r="C16" s="13" t="n">
        <v>0.5</v>
      </c>
      <c r="D16" s="13" t="n">
        <v>1</v>
      </c>
      <c r="E16" s="13" t="n">
        <v>1.5</v>
      </c>
      <c r="F16" s="5" t="s">
        <v>246</v>
      </c>
      <c r="G16" s="5" t="s">
        <v>165</v>
      </c>
      <c r="H16" s="5" t="s">
        <v>247</v>
      </c>
    </row>
    <row r="17" customFormat="false" ht="15" hidden="false" customHeight="false" outlineLevel="0" collapsed="false">
      <c r="A17" s="5" t="s">
        <v>248</v>
      </c>
      <c r="B17" s="5" t="s">
        <v>249</v>
      </c>
      <c r="C17" s="7" t="n">
        <v>0.1</v>
      </c>
      <c r="D17" s="10" t="n">
        <f aca="false">Данные!$C$23</f>
        <v>0.22</v>
      </c>
      <c r="E17" s="10" t="n">
        <f aca="false">Данные!$C$23</f>
        <v>0.22</v>
      </c>
      <c r="F17" s="5" t="s">
        <v>43</v>
      </c>
      <c r="G17" s="5" t="s">
        <v>165</v>
      </c>
      <c r="H17" s="5" t="s">
        <v>250</v>
      </c>
    </row>
    <row r="18" customFormat="false" ht="23.85" hidden="false" customHeight="false" outlineLevel="0" collapsed="false">
      <c r="A18" s="5" t="s">
        <v>251</v>
      </c>
      <c r="B18" s="5" t="s">
        <v>252</v>
      </c>
      <c r="C18" s="14" t="n">
        <v>0.002</v>
      </c>
      <c r="D18" s="11" t="n">
        <v>0.01</v>
      </c>
      <c r="E18" s="11" t="n">
        <v>0.03</v>
      </c>
      <c r="F18" s="5" t="s">
        <v>43</v>
      </c>
      <c r="G18" s="5" t="s">
        <v>165</v>
      </c>
      <c r="H18" s="5" t="s">
        <v>253</v>
      </c>
    </row>
    <row r="19" customFormat="false" ht="23.85" hidden="false" customHeight="false" outlineLevel="0" collapsed="false">
      <c r="A19" s="5" t="s">
        <v>254</v>
      </c>
      <c r="B19" s="5" t="s">
        <v>255</v>
      </c>
      <c r="C19" s="7" t="n">
        <v>0.5</v>
      </c>
      <c r="D19" s="7" t="n">
        <v>1</v>
      </c>
      <c r="E19" s="7" t="n">
        <v>1</v>
      </c>
      <c r="F19" s="5" t="s">
        <v>43</v>
      </c>
      <c r="G19" s="5" t="s">
        <v>165</v>
      </c>
      <c r="H19" s="5" t="s">
        <v>256</v>
      </c>
    </row>
    <row r="20" customFormat="false" ht="23.85" hidden="false" customHeight="false" outlineLevel="0" collapsed="false">
      <c r="A20" s="5" t="s">
        <v>257</v>
      </c>
      <c r="B20" s="5" t="s">
        <v>258</v>
      </c>
      <c r="C20" s="11" t="n">
        <v>0.1</v>
      </c>
      <c r="D20" s="11" t="n">
        <v>0.25</v>
      </c>
      <c r="E20" s="11" t="n">
        <v>0.5</v>
      </c>
      <c r="F20" s="5" t="s">
        <v>43</v>
      </c>
      <c r="G20" s="5" t="s">
        <v>165</v>
      </c>
      <c r="H20" s="5" t="s">
        <v>259</v>
      </c>
    </row>
    <row r="21" customFormat="false" ht="23.85" hidden="false" customHeight="false" outlineLevel="0" collapsed="false">
      <c r="A21" s="5" t="s">
        <v>260</v>
      </c>
      <c r="B21" s="5" t="s">
        <v>261</v>
      </c>
      <c r="C21" s="6" t="n">
        <v>500000</v>
      </c>
      <c r="D21" s="6" t="n">
        <v>800000</v>
      </c>
      <c r="E21" s="15" t="n">
        <f aca="false">Данные!$C$31</f>
        <v>1000000</v>
      </c>
      <c r="F21" s="5" t="s">
        <v>148</v>
      </c>
      <c r="G21" s="5" t="s">
        <v>165</v>
      </c>
      <c r="H21" s="5" t="s">
        <v>262</v>
      </c>
    </row>
    <row r="22" customFormat="false" ht="23.85" hidden="false" customHeight="false" outlineLevel="0" collapsed="false">
      <c r="A22" s="5" t="s">
        <v>263</v>
      </c>
      <c r="B22" s="5" t="s">
        <v>264</v>
      </c>
      <c r="C22" s="13" t="n">
        <v>1</v>
      </c>
      <c r="D22" s="13" t="n">
        <v>2</v>
      </c>
      <c r="E22" s="13" t="n">
        <v>3</v>
      </c>
      <c r="F22" s="5" t="s">
        <v>246</v>
      </c>
      <c r="G22" s="5" t="s">
        <v>165</v>
      </c>
      <c r="H22" s="5" t="s">
        <v>265</v>
      </c>
    </row>
    <row r="23" customFormat="false" ht="23.85" hidden="false" customHeight="false" outlineLevel="0" collapsed="false">
      <c r="A23" s="5" t="s">
        <v>266</v>
      </c>
      <c r="B23" s="5" t="s">
        <v>267</v>
      </c>
      <c r="C23" s="11" t="n">
        <v>0.1</v>
      </c>
      <c r="D23" s="11" t="n">
        <v>0.2</v>
      </c>
      <c r="E23" s="11" t="n">
        <v>0.3</v>
      </c>
      <c r="F23" s="5" t="s">
        <v>43</v>
      </c>
      <c r="G23" s="5" t="s">
        <v>165</v>
      </c>
      <c r="H23" s="5" t="s">
        <v>268</v>
      </c>
    </row>
    <row r="24" customFormat="false" ht="15" hidden="false" customHeight="false" outlineLevel="0" collapsed="false">
      <c r="A24" s="5" t="s">
        <v>269</v>
      </c>
      <c r="B24" s="5" t="s">
        <v>270</v>
      </c>
      <c r="C24" s="11" t="n">
        <v>0.01</v>
      </c>
      <c r="D24" s="11" t="n">
        <v>0.03</v>
      </c>
      <c r="E24" s="11" t="n">
        <v>0.08</v>
      </c>
      <c r="F24" s="5" t="s">
        <v>43</v>
      </c>
      <c r="G24" s="5" t="s">
        <v>165</v>
      </c>
      <c r="H24" s="5" t="s">
        <v>271</v>
      </c>
    </row>
    <row r="25" customFormat="false" ht="15" hidden="false" customHeight="false" outlineLevel="0" collapsed="false">
      <c r="A25" s="5" t="s">
        <v>272</v>
      </c>
      <c r="B25" s="5" t="s">
        <v>273</v>
      </c>
      <c r="C25" s="7" t="n">
        <v>0.02</v>
      </c>
      <c r="D25" s="7" t="n">
        <v>0.05</v>
      </c>
      <c r="E25" s="7" t="n">
        <v>0.1</v>
      </c>
      <c r="F25" s="5" t="s">
        <v>43</v>
      </c>
      <c r="G25" s="5" t="s">
        <v>165</v>
      </c>
      <c r="H25" s="5" t="s">
        <v>274</v>
      </c>
    </row>
    <row r="26" customFormat="false" ht="15" hidden="false" customHeight="false" outlineLevel="0" collapsed="false">
      <c r="A26" s="5" t="s">
        <v>275</v>
      </c>
      <c r="B26" s="5" t="s">
        <v>276</v>
      </c>
      <c r="C26" s="6" t="n">
        <v>50000</v>
      </c>
      <c r="D26" s="6" t="n">
        <v>100000</v>
      </c>
      <c r="E26" s="6" t="n">
        <v>150000</v>
      </c>
      <c r="F26" s="5" t="s">
        <v>148</v>
      </c>
      <c r="G26" s="5" t="s">
        <v>165</v>
      </c>
      <c r="H26" s="5" t="s">
        <v>277</v>
      </c>
    </row>
    <row r="27" customFormat="false" ht="23.85" hidden="false" customHeight="false" outlineLevel="0" collapsed="false">
      <c r="A27" s="5" t="s">
        <v>278</v>
      </c>
      <c r="B27" s="5" t="s">
        <v>279</v>
      </c>
      <c r="C27" s="14" t="n">
        <v>0.003</v>
      </c>
      <c r="D27" s="11" t="n">
        <v>0.01</v>
      </c>
      <c r="E27" s="11" t="n">
        <v>0.03</v>
      </c>
      <c r="F27" s="5" t="s">
        <v>43</v>
      </c>
      <c r="G27" s="5" t="s">
        <v>165</v>
      </c>
      <c r="H27" s="5" t="s">
        <v>280</v>
      </c>
    </row>
    <row r="28" customFormat="false" ht="23.85" hidden="false" customHeight="false" outlineLevel="0" collapsed="false">
      <c r="A28" s="5" t="s">
        <v>281</v>
      </c>
      <c r="B28" s="5" t="s">
        <v>282</v>
      </c>
      <c r="C28" s="9" t="n">
        <v>0.005</v>
      </c>
      <c r="D28" s="7" t="n">
        <v>0.02</v>
      </c>
      <c r="E28" s="7" t="n">
        <v>0.05</v>
      </c>
      <c r="F28" s="5" t="s">
        <v>43</v>
      </c>
      <c r="G28" s="5" t="s">
        <v>165</v>
      </c>
      <c r="H28" s="5" t="s">
        <v>283</v>
      </c>
    </row>
    <row r="29" customFormat="false" ht="23.85" hidden="false" customHeight="false" outlineLevel="0" collapsed="false">
      <c r="A29" s="5" t="s">
        <v>284</v>
      </c>
      <c r="B29" s="5" t="s">
        <v>285</v>
      </c>
      <c r="C29" s="6" t="n">
        <v>3</v>
      </c>
      <c r="D29" s="6" t="n">
        <v>3</v>
      </c>
      <c r="E29" s="6" t="n">
        <v>3</v>
      </c>
      <c r="F29" s="5" t="s">
        <v>286</v>
      </c>
      <c r="G29" s="5" t="s">
        <v>165</v>
      </c>
      <c r="H29" s="5" t="s">
        <v>287</v>
      </c>
    </row>
    <row r="30" customFormat="false" ht="23.85" hidden="false" customHeight="false" outlineLevel="0" collapsed="false">
      <c r="A30" s="5" t="s">
        <v>288</v>
      </c>
      <c r="B30" s="5" t="s">
        <v>289</v>
      </c>
      <c r="C30" s="7" t="n">
        <v>0.5</v>
      </c>
      <c r="D30" s="7" t="n">
        <v>0.5</v>
      </c>
      <c r="E30" s="7" t="n">
        <v>0.5</v>
      </c>
      <c r="F30" s="5" t="s">
        <v>43</v>
      </c>
      <c r="G30" s="5" t="s">
        <v>165</v>
      </c>
      <c r="H30" s="5" t="s">
        <v>290</v>
      </c>
    </row>
    <row r="31" customFormat="false" ht="23.85" hidden="false" customHeight="false" outlineLevel="0" collapsed="false">
      <c r="A31" s="5" t="s">
        <v>291</v>
      </c>
      <c r="B31" s="5" t="s">
        <v>292</v>
      </c>
      <c r="C31" s="16" t="n">
        <v>600</v>
      </c>
      <c r="D31" s="16" t="n">
        <v>1500</v>
      </c>
      <c r="E31" s="16" t="n">
        <v>4500</v>
      </c>
      <c r="F31" s="5" t="s">
        <v>162</v>
      </c>
      <c r="G31" s="5" t="s">
        <v>165</v>
      </c>
      <c r="H31" s="5" t="s">
        <v>293</v>
      </c>
    </row>
    <row r="32" customFormat="false" ht="23.85" hidden="false" customHeight="false" outlineLevel="0" collapsed="false">
      <c r="A32" s="5" t="s">
        <v>294</v>
      </c>
      <c r="B32" s="5" t="s">
        <v>295</v>
      </c>
      <c r="C32" s="16" t="n">
        <v>300</v>
      </c>
      <c r="D32" s="16" t="n">
        <v>1200</v>
      </c>
      <c r="E32" s="16" t="n">
        <v>4000</v>
      </c>
      <c r="F32" s="5" t="s">
        <v>55</v>
      </c>
      <c r="G32" s="5" t="s">
        <v>165</v>
      </c>
      <c r="H32" s="5" t="s">
        <v>296</v>
      </c>
    </row>
    <row r="33" customFormat="false" ht="15" hidden="false" customHeight="false" outlineLevel="0" collapsed="false">
      <c r="A33" s="5" t="s">
        <v>297</v>
      </c>
      <c r="B33" s="5" t="s">
        <v>298</v>
      </c>
      <c r="C33" s="6" t="n">
        <v>0.5</v>
      </c>
      <c r="D33" s="6" t="n">
        <v>0.8</v>
      </c>
      <c r="E33" s="6" t="n">
        <v>1</v>
      </c>
      <c r="F33" s="5" t="s">
        <v>299</v>
      </c>
      <c r="G33" s="5" t="s">
        <v>165</v>
      </c>
      <c r="H33" s="5" t="s">
        <v>300</v>
      </c>
    </row>
    <row r="34" customFormat="false" ht="15" hidden="false" customHeight="false" outlineLevel="0" collapsed="false">
      <c r="A34" s="5" t="s">
        <v>301</v>
      </c>
      <c r="B34" s="5" t="s">
        <v>302</v>
      </c>
      <c r="C34" s="6" t="n">
        <v>1</v>
      </c>
      <c r="D34" s="6" t="n">
        <v>2</v>
      </c>
      <c r="E34" s="6" t="n">
        <v>5</v>
      </c>
      <c r="F34" s="5" t="s">
        <v>21</v>
      </c>
      <c r="G34" s="5" t="s">
        <v>165</v>
      </c>
      <c r="H34" s="5" t="s">
        <v>303</v>
      </c>
    </row>
    <row r="35" customFormat="false" ht="15" hidden="false" customHeight="false" outlineLevel="0" collapsed="false">
      <c r="A35" s="5" t="s">
        <v>304</v>
      </c>
      <c r="B35" s="5" t="s">
        <v>305</v>
      </c>
      <c r="C35" s="6" t="n">
        <v>0</v>
      </c>
      <c r="D35" s="6" t="n">
        <v>1</v>
      </c>
      <c r="E35" s="6" t="n">
        <v>3</v>
      </c>
      <c r="F35" s="5" t="s">
        <v>21</v>
      </c>
      <c r="G35" s="5" t="s">
        <v>165</v>
      </c>
      <c r="H35" s="5" t="s">
        <v>306</v>
      </c>
    </row>
    <row r="36" customFormat="false" ht="15" hidden="false" customHeight="false" outlineLevel="0" collapsed="false">
      <c r="A36" s="5" t="s">
        <v>307</v>
      </c>
      <c r="B36" s="5" t="s">
        <v>308</v>
      </c>
      <c r="C36" s="6" t="n">
        <v>0</v>
      </c>
      <c r="D36" s="6" t="n">
        <v>0</v>
      </c>
      <c r="E36" s="6" t="n">
        <v>1</v>
      </c>
      <c r="F36" s="5" t="s">
        <v>21</v>
      </c>
      <c r="G36" s="5" t="s">
        <v>165</v>
      </c>
      <c r="H36" s="5" t="s">
        <v>309</v>
      </c>
    </row>
    <row r="37" customFormat="false" ht="15" hidden="false" customHeight="false" outlineLevel="0" collapsed="false">
      <c r="A37" s="5" t="s">
        <v>310</v>
      </c>
      <c r="B37" s="5" t="s">
        <v>311</v>
      </c>
      <c r="C37" s="6" t="n">
        <v>0</v>
      </c>
      <c r="D37" s="6" t="n">
        <v>1</v>
      </c>
      <c r="E37" s="6" t="n">
        <v>1</v>
      </c>
      <c r="F37" s="5" t="s">
        <v>21</v>
      </c>
      <c r="G37" s="5" t="s">
        <v>165</v>
      </c>
      <c r="H37" s="5" t="s">
        <v>312</v>
      </c>
    </row>
    <row r="38" customFormat="false" ht="15" hidden="false" customHeight="false" outlineLevel="0" collapsed="false">
      <c r="A38" s="5" t="s">
        <v>313</v>
      </c>
      <c r="B38" s="5" t="s">
        <v>314</v>
      </c>
      <c r="C38" s="6" t="n">
        <v>100</v>
      </c>
      <c r="D38" s="6" t="n">
        <v>200</v>
      </c>
      <c r="E38" s="6" t="n">
        <v>300</v>
      </c>
      <c r="F38" s="5" t="s">
        <v>299</v>
      </c>
      <c r="G38" s="5" t="s">
        <v>165</v>
      </c>
      <c r="H38" s="5" t="s">
        <v>315</v>
      </c>
    </row>
    <row r="39" customFormat="false" ht="15" hidden="false" customHeight="false" outlineLevel="0" collapsed="false">
      <c r="A39" s="5" t="s">
        <v>316</v>
      </c>
      <c r="B39" s="5" t="s">
        <v>317</v>
      </c>
      <c r="C39" s="7" t="n">
        <v>0.1</v>
      </c>
      <c r="D39" s="7" t="n">
        <v>0.1</v>
      </c>
      <c r="E39" s="7" t="n">
        <v>0.1</v>
      </c>
      <c r="F39" s="5" t="s">
        <v>43</v>
      </c>
      <c r="G39" s="5" t="s">
        <v>165</v>
      </c>
      <c r="H39" s="5" t="s">
        <v>315</v>
      </c>
    </row>
    <row r="40" customFormat="false" ht="15" hidden="false" customHeight="false" outlineLevel="0" collapsed="false">
      <c r="A40" s="5" t="s">
        <v>318</v>
      </c>
      <c r="B40" s="5" t="s">
        <v>319</v>
      </c>
      <c r="C40" s="11" t="n">
        <v>0.06</v>
      </c>
      <c r="D40" s="11" t="n">
        <v>0.12</v>
      </c>
      <c r="E40" s="11" t="n">
        <v>0.2</v>
      </c>
      <c r="F40" s="5" t="s">
        <v>43</v>
      </c>
      <c r="G40" s="5" t="s">
        <v>165</v>
      </c>
      <c r="H40" s="5" t="s">
        <v>320</v>
      </c>
    </row>
    <row r="41" customFormat="false" ht="23.85" hidden="false" customHeight="false" outlineLevel="0" collapsed="false">
      <c r="A41" s="5" t="s">
        <v>321</v>
      </c>
      <c r="B41" s="5" t="s">
        <v>322</v>
      </c>
      <c r="C41" s="11" t="n">
        <v>0.08</v>
      </c>
      <c r="D41" s="11" t="n">
        <v>0.15</v>
      </c>
      <c r="E41" s="12" t="n">
        <f aca="false">Данные!$C$38</f>
        <v>0.2</v>
      </c>
      <c r="F41" s="5" t="s">
        <v>43</v>
      </c>
      <c r="G41" s="5" t="s">
        <v>165</v>
      </c>
      <c r="H41" s="5" t="s">
        <v>323</v>
      </c>
    </row>
    <row r="42" customFormat="false" ht="15" hidden="false" customHeight="false" outlineLevel="0" collapsed="false">
      <c r="A42" s="5" t="s">
        <v>324</v>
      </c>
      <c r="B42" s="5" t="s">
        <v>325</v>
      </c>
      <c r="C42" s="11" t="n">
        <v>0.02</v>
      </c>
      <c r="D42" s="12" t="n">
        <f aca="false">Данные!$C$39</f>
        <v>0.035</v>
      </c>
      <c r="E42" s="11" t="n">
        <v>0.05</v>
      </c>
      <c r="F42" s="5" t="s">
        <v>43</v>
      </c>
      <c r="G42" s="5" t="s">
        <v>165</v>
      </c>
      <c r="H42" s="5" t="s">
        <v>326</v>
      </c>
    </row>
    <row r="43" customFormat="false" ht="15" hidden="false" customHeight="false" outlineLevel="0" collapsed="false">
      <c r="A43" s="5" t="s">
        <v>327</v>
      </c>
      <c r="B43" s="5" t="s">
        <v>328</v>
      </c>
      <c r="C43" s="16" t="n">
        <v>0.2</v>
      </c>
      <c r="D43" s="16" t="n">
        <v>0.5</v>
      </c>
      <c r="E43" s="16" t="n">
        <v>1</v>
      </c>
      <c r="F43" s="5" t="s">
        <v>329</v>
      </c>
      <c r="G43" s="5" t="s">
        <v>165</v>
      </c>
      <c r="H43" s="5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331</v>
      </c>
    </row>
    <row r="3" customFormat="false" ht="15" hidden="false" customHeight="false" outlineLevel="0" collapsed="false">
      <c r="A3" s="4" t="s">
        <v>11</v>
      </c>
      <c r="B3" s="4" t="s">
        <v>203</v>
      </c>
      <c r="C3" s="4" t="s">
        <v>204</v>
      </c>
      <c r="D3" s="4" t="s">
        <v>205</v>
      </c>
      <c r="E3" s="4" t="s">
        <v>13</v>
      </c>
      <c r="F3" s="4" t="s">
        <v>332</v>
      </c>
    </row>
    <row r="4" customFormat="false" ht="15" hidden="false" customHeight="false" outlineLevel="0" collapsed="false">
      <c r="A4" s="17" t="s">
        <v>333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5" t="s">
        <v>334</v>
      </c>
      <c r="B5" s="15" t="n">
        <f aca="false">Данные!$C$4</f>
        <v>319500</v>
      </c>
      <c r="C5" s="15" t="n">
        <f aca="false">Данные!$C$4</f>
        <v>319500</v>
      </c>
      <c r="D5" s="15" t="n">
        <f aca="false">Данные!$C$4</f>
        <v>319500</v>
      </c>
      <c r="E5" s="5" t="s">
        <v>21</v>
      </c>
      <c r="F5" s="5" t="s">
        <v>335</v>
      </c>
    </row>
    <row r="6" customFormat="false" ht="15" hidden="false" customHeight="false" outlineLevel="0" collapsed="false">
      <c r="A6" s="5" t="s">
        <v>336</v>
      </c>
      <c r="B6" s="10" t="n">
        <f aca="false">Допущения!C$4</f>
        <v>0.25</v>
      </c>
      <c r="C6" s="10" t="n">
        <f aca="false">Допущения!D$4</f>
        <v>0.308</v>
      </c>
      <c r="D6" s="10" t="n">
        <f aca="false">Допущения!E$4</f>
        <v>0.308</v>
      </c>
      <c r="E6" s="5" t="s">
        <v>43</v>
      </c>
      <c r="F6" s="5" t="s">
        <v>337</v>
      </c>
    </row>
    <row r="7" customFormat="false" ht="15" hidden="false" customHeight="false" outlineLevel="0" collapsed="false">
      <c r="A7" s="5" t="s">
        <v>338</v>
      </c>
      <c r="B7" s="18" t="n">
        <f aca="false">B5*B6</f>
        <v>79875</v>
      </c>
      <c r="C7" s="18" t="n">
        <f aca="false">C5*C6</f>
        <v>98406</v>
      </c>
      <c r="D7" s="18" t="n">
        <f aca="false">D5*D6</f>
        <v>98406</v>
      </c>
      <c r="E7" s="5" t="s">
        <v>21</v>
      </c>
      <c r="F7" s="5" t="s">
        <v>339</v>
      </c>
    </row>
    <row r="8" customFormat="false" ht="15" hidden="false" customHeight="false" outlineLevel="0" collapsed="false">
      <c r="A8" s="5" t="s">
        <v>340</v>
      </c>
      <c r="B8" s="10" t="n">
        <f aca="false">Допущения!C$5</f>
        <v>0.7</v>
      </c>
      <c r="C8" s="10" t="n">
        <f aca="false">Допущения!D$5</f>
        <v>0.8</v>
      </c>
      <c r="D8" s="10" t="n">
        <f aca="false">Допущения!E$5</f>
        <v>0.9</v>
      </c>
      <c r="E8" s="5" t="s">
        <v>43</v>
      </c>
      <c r="F8" s="5" t="s">
        <v>165</v>
      </c>
    </row>
    <row r="9" customFormat="false" ht="15" hidden="false" customHeight="false" outlineLevel="0" collapsed="false">
      <c r="A9" s="19" t="s">
        <v>341</v>
      </c>
      <c r="B9" s="20" t="n">
        <f aca="false">B7*B8</f>
        <v>55912.5</v>
      </c>
      <c r="C9" s="20" t="n">
        <f aca="false">C7*C8</f>
        <v>78724.8</v>
      </c>
      <c r="D9" s="20" t="n">
        <f aca="false">D7*D8</f>
        <v>88565.4</v>
      </c>
      <c r="E9" s="5" t="s">
        <v>21</v>
      </c>
      <c r="F9" s="5" t="s">
        <v>165</v>
      </c>
    </row>
    <row r="10" customFormat="false" ht="23.85" hidden="false" customHeight="false" outlineLevel="0" collapsed="false">
      <c r="A10" s="5" t="s">
        <v>342</v>
      </c>
      <c r="B10" s="21" t="n">
        <f aca="false">B9/Данные!$C$17</f>
        <v>0.0993646703394349</v>
      </c>
      <c r="C10" s="21" t="n">
        <f aca="false">C9/Данные!$C$17</f>
        <v>0.139905455837924</v>
      </c>
      <c r="D10" s="21" t="n">
        <f aca="false">D9/Данные!$C$17</f>
        <v>0.157393637817665</v>
      </c>
      <c r="E10" s="5" t="s">
        <v>43</v>
      </c>
      <c r="F10" s="5" t="s">
        <v>343</v>
      </c>
    </row>
    <row r="11" customFormat="false" ht="15" hidden="false" customHeight="false" outlineLevel="0" collapsed="false">
      <c r="A11" s="17" t="s">
        <v>344</v>
      </c>
      <c r="B11" s="17"/>
      <c r="C11" s="17"/>
      <c r="D11" s="17"/>
      <c r="E11" s="17"/>
      <c r="F11" s="17"/>
    </row>
    <row r="12" customFormat="false" ht="23.85" hidden="false" customHeight="false" outlineLevel="0" collapsed="false">
      <c r="A12" s="5" t="s">
        <v>345</v>
      </c>
      <c r="B12" s="15" t="n">
        <f aca="false">Данные!$C$4*Данные!$C$9</f>
        <v>70290</v>
      </c>
      <c r="C12" s="15" t="n">
        <f aca="false">Данные!$C$11*2</f>
        <v>85150</v>
      </c>
      <c r="D12" s="15" t="n">
        <f aca="false">Данные!$C$11*2*(1+Допущения!E$6)</f>
        <v>93665</v>
      </c>
      <c r="E12" s="5" t="s">
        <v>21</v>
      </c>
      <c r="F12" s="5" t="s">
        <v>346</v>
      </c>
    </row>
    <row r="13" customFormat="false" ht="15" hidden="false" customHeight="false" outlineLevel="0" collapsed="false">
      <c r="A13" s="5" t="s">
        <v>347</v>
      </c>
      <c r="B13" s="10" t="n">
        <f aca="false">Допущения!C$7</f>
        <v>0.22</v>
      </c>
      <c r="C13" s="10" t="n">
        <f aca="false">Допущения!D$7</f>
        <v>0.26</v>
      </c>
      <c r="D13" s="10" t="n">
        <f aca="false">Допущения!E$7</f>
        <v>0.306106870229008</v>
      </c>
      <c r="E13" s="5" t="s">
        <v>43</v>
      </c>
      <c r="F13" s="5" t="s">
        <v>165</v>
      </c>
    </row>
    <row r="14" customFormat="false" ht="15" hidden="false" customHeight="false" outlineLevel="0" collapsed="false">
      <c r="A14" s="19" t="s">
        <v>348</v>
      </c>
      <c r="B14" s="20" t="n">
        <f aca="false">B12*B13</f>
        <v>15463.8</v>
      </c>
      <c r="C14" s="20" t="n">
        <f aca="false">C12*C13</f>
        <v>22139</v>
      </c>
      <c r="D14" s="20" t="n">
        <f aca="false">D12*D13</f>
        <v>28671.5</v>
      </c>
      <c r="E14" s="5" t="s">
        <v>21</v>
      </c>
      <c r="F14" s="5" t="s">
        <v>165</v>
      </c>
    </row>
    <row r="15" customFormat="false" ht="15" hidden="false" customHeight="false" outlineLevel="0" collapsed="false">
      <c r="A15" s="5" t="s">
        <v>349</v>
      </c>
      <c r="B15" s="18" t="n">
        <f aca="false">B14*Допущения!C$8</f>
        <v>3865.95</v>
      </c>
      <c r="C15" s="18" t="n">
        <f aca="false">C14*Допущения!D$8</f>
        <v>6641.7</v>
      </c>
      <c r="D15" s="18" t="n">
        <f aca="false">D14*Допущения!E$8</f>
        <v>11468.6</v>
      </c>
      <c r="E15" s="5" t="s">
        <v>21</v>
      </c>
      <c r="F15" s="5" t="s">
        <v>165</v>
      </c>
    </row>
    <row r="16" customFormat="false" ht="15" hidden="false" customHeight="false" outlineLevel="0" collapsed="false">
      <c r="A16" s="5" t="s">
        <v>350</v>
      </c>
      <c r="B16" s="18" t="n">
        <f aca="false">B14-B15</f>
        <v>11597.85</v>
      </c>
      <c r="C16" s="18" t="n">
        <f aca="false">C14-C15</f>
        <v>15497.3</v>
      </c>
      <c r="D16" s="18" t="n">
        <f aca="false">D14-D15</f>
        <v>17202.9</v>
      </c>
      <c r="E16" s="5" t="s">
        <v>21</v>
      </c>
      <c r="F16" s="5" t="s">
        <v>165</v>
      </c>
    </row>
    <row r="17" customFormat="false" ht="15" hidden="false" customHeight="false" outlineLevel="0" collapsed="false">
      <c r="A17" s="5" t="s">
        <v>351</v>
      </c>
      <c r="B17" s="18" t="n">
        <f aca="false">B14*Допущения!C$9</f>
        <v>0</v>
      </c>
      <c r="C17" s="18" t="n">
        <f aca="false">C14*Допущения!D$9</f>
        <v>4427.8</v>
      </c>
      <c r="D17" s="18" t="n">
        <f aca="false">D14*Допущения!E$9</f>
        <v>11468.6</v>
      </c>
      <c r="E17" s="5" t="s">
        <v>21</v>
      </c>
      <c r="F17" s="5" t="s">
        <v>352</v>
      </c>
    </row>
    <row r="18" customFormat="false" ht="15" hidden="false" customHeight="false" outlineLevel="0" collapsed="false">
      <c r="A18" s="17" t="s">
        <v>353</v>
      </c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5" t="s">
        <v>354</v>
      </c>
      <c r="B19" s="15" t="n">
        <f aca="false">Данные!$C$26</f>
        <v>3178100</v>
      </c>
      <c r="C19" s="15" t="n">
        <f aca="false">Данные!$C$26</f>
        <v>3178100</v>
      </c>
      <c r="D19" s="15" t="n">
        <f aca="false">Данные!$C$26</f>
        <v>3178100</v>
      </c>
      <c r="E19" s="5" t="s">
        <v>55</v>
      </c>
      <c r="F19" s="5" t="s">
        <v>355</v>
      </c>
    </row>
    <row r="20" customFormat="false" ht="15" hidden="false" customHeight="false" outlineLevel="0" collapsed="false">
      <c r="A20" s="5" t="s">
        <v>356</v>
      </c>
      <c r="B20" s="18" t="n">
        <f aca="false">B19*Допущения!C$12/1000</f>
        <v>14301.45</v>
      </c>
      <c r="C20" s="18" t="n">
        <f aca="false">C19*Допущения!D$12/1000</f>
        <v>15890.5</v>
      </c>
      <c r="D20" s="18" t="n">
        <f aca="false">D19*Допущения!E$12/1000</f>
        <v>17479.55</v>
      </c>
      <c r="E20" s="5" t="s">
        <v>55</v>
      </c>
      <c r="F20" s="5" t="s">
        <v>357</v>
      </c>
    </row>
    <row r="21" customFormat="false" ht="15" hidden="false" customHeight="false" outlineLevel="0" collapsed="false">
      <c r="A21" s="5" t="s">
        <v>358</v>
      </c>
      <c r="B21" s="18" t="n">
        <f aca="false">B20*Допущения!C$13</f>
        <v>3575.3625</v>
      </c>
      <c r="C21" s="18" t="n">
        <f aca="false">C20*Допущения!D$13</f>
        <v>5561.675</v>
      </c>
      <c r="D21" s="18" t="n">
        <f aca="false">D20*Допущения!E$13</f>
        <v>7865.7975</v>
      </c>
      <c r="E21" s="5" t="s">
        <v>21</v>
      </c>
      <c r="F21" s="5" t="s">
        <v>165</v>
      </c>
    </row>
    <row r="22" customFormat="false" ht="15" hidden="false" customHeight="false" outlineLevel="0" collapsed="false">
      <c r="A22" s="19" t="s">
        <v>359</v>
      </c>
      <c r="B22" s="20" t="n">
        <f aca="false">B21*Допущения!C$14</f>
        <v>357.53625</v>
      </c>
      <c r="C22" s="20" t="n">
        <f aca="false">C21*Допущения!D$14</f>
        <v>1112.335</v>
      </c>
      <c r="D22" s="20" t="n">
        <f aca="false">D21*Допущения!E$14</f>
        <v>2359.73925</v>
      </c>
      <c r="E22" s="5" t="s">
        <v>21</v>
      </c>
      <c r="F22" s="5" t="s">
        <v>165</v>
      </c>
    </row>
    <row r="23" customFormat="false" ht="15" hidden="false" customHeight="false" outlineLevel="0" collapsed="false">
      <c r="A23" s="17" t="s">
        <v>360</v>
      </c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5" t="s">
        <v>361</v>
      </c>
      <c r="B24" s="15" t="n">
        <f aca="false">Данные!$C$28*Данные!$C$26/Данные!$C$27</f>
        <v>3120.52488624543</v>
      </c>
      <c r="C24" s="15" t="n">
        <f aca="false">Данные!$C$28*Данные!$C$26/Данные!$C$27</f>
        <v>3120.52488624543</v>
      </c>
      <c r="D24" s="15" t="n">
        <f aca="false">Данные!$C$28*Данные!$C$26/Данные!$C$27</f>
        <v>3120.52488624543</v>
      </c>
      <c r="E24" s="5" t="s">
        <v>21</v>
      </c>
      <c r="F24" s="5" t="s">
        <v>362</v>
      </c>
    </row>
    <row r="25" customFormat="false" ht="15" hidden="false" customHeight="false" outlineLevel="0" collapsed="false">
      <c r="A25" s="19" t="s">
        <v>363</v>
      </c>
      <c r="B25" s="20" t="n">
        <f aca="false">B24*Допущения!C$15*(1+Допущения!C$16)</f>
        <v>140.423619881044</v>
      </c>
      <c r="C25" s="20" t="n">
        <f aca="false">C24*Допущения!D$15*(1+Допущения!D$16)</f>
        <v>374.462986349451</v>
      </c>
      <c r="D25" s="20" t="n">
        <f aca="false">D24*Допущения!E$15*(1+Допущения!E$16)</f>
        <v>780.131221561356</v>
      </c>
      <c r="E25" s="5" t="s">
        <v>21</v>
      </c>
      <c r="F25" s="5" t="s">
        <v>165</v>
      </c>
    </row>
    <row r="26" customFormat="false" ht="15" hidden="false" customHeight="false" outlineLevel="0" collapsed="false">
      <c r="A26" s="17" t="s">
        <v>364</v>
      </c>
      <c r="B26" s="17"/>
      <c r="C26" s="17"/>
      <c r="D26" s="17"/>
      <c r="E26" s="17"/>
      <c r="F26" s="17"/>
    </row>
    <row r="27" customFormat="false" ht="15" hidden="false" customHeight="false" outlineLevel="0" collapsed="false">
      <c r="A27" s="5" t="s">
        <v>365</v>
      </c>
      <c r="B27" s="15" t="n">
        <f aca="false">Данные!$C$18</f>
        <v>600000</v>
      </c>
      <c r="C27" s="15" t="n">
        <f aca="false">Данные!$C$18</f>
        <v>600000</v>
      </c>
      <c r="D27" s="15" t="n">
        <f aca="false">Данные!$C$18</f>
        <v>600000</v>
      </c>
      <c r="E27" s="5" t="s">
        <v>21</v>
      </c>
      <c r="F27" s="5" t="s">
        <v>366</v>
      </c>
    </row>
    <row r="28" customFormat="false" ht="15" hidden="false" customHeight="false" outlineLevel="0" collapsed="false">
      <c r="A28" s="5" t="s">
        <v>367</v>
      </c>
      <c r="B28" s="10" t="n">
        <f aca="false">Допущения!C$17</f>
        <v>0.1</v>
      </c>
      <c r="C28" s="10" t="n">
        <f aca="false">Допущения!D$17</f>
        <v>0.22</v>
      </c>
      <c r="D28" s="10" t="n">
        <f aca="false">Допущения!E$17</f>
        <v>0.22</v>
      </c>
      <c r="E28" s="5" t="s">
        <v>43</v>
      </c>
      <c r="F28" s="5" t="s">
        <v>368</v>
      </c>
    </row>
    <row r="29" customFormat="false" ht="15" hidden="false" customHeight="false" outlineLevel="0" collapsed="false">
      <c r="A29" s="5" t="s">
        <v>369</v>
      </c>
      <c r="B29" s="22" t="n">
        <f aca="false">Допущения!C$18</f>
        <v>0.002</v>
      </c>
      <c r="C29" s="22" t="n">
        <f aca="false">Допущения!D$18</f>
        <v>0.01</v>
      </c>
      <c r="D29" s="22" t="n">
        <f aca="false">Допущения!E$18</f>
        <v>0.03</v>
      </c>
      <c r="E29" s="5" t="s">
        <v>43</v>
      </c>
      <c r="F29" s="5" t="s">
        <v>165</v>
      </c>
    </row>
    <row r="30" customFormat="false" ht="15" hidden="false" customHeight="false" outlineLevel="0" collapsed="false">
      <c r="A30" s="5" t="s">
        <v>370</v>
      </c>
      <c r="B30" s="10" t="n">
        <f aca="false">Допущения!C$19</f>
        <v>0.5</v>
      </c>
      <c r="C30" s="10" t="n">
        <f aca="false">Допущения!D$19</f>
        <v>1</v>
      </c>
      <c r="D30" s="10" t="n">
        <f aca="false">Допущения!E$19</f>
        <v>1</v>
      </c>
      <c r="E30" s="5" t="s">
        <v>43</v>
      </c>
      <c r="F30" s="5" t="s">
        <v>165</v>
      </c>
    </row>
    <row r="31" customFormat="false" ht="15" hidden="false" customHeight="false" outlineLevel="0" collapsed="false">
      <c r="A31" s="19" t="s">
        <v>371</v>
      </c>
      <c r="B31" s="20" t="n">
        <f aca="false">B27*B28*B29*B30</f>
        <v>60</v>
      </c>
      <c r="C31" s="20" t="n">
        <f aca="false">C27*C28*C29*C30</f>
        <v>1320</v>
      </c>
      <c r="D31" s="20" t="n">
        <f aca="false">D27*D28*D29*D30</f>
        <v>3960</v>
      </c>
      <c r="E31" s="5" t="s">
        <v>21</v>
      </c>
      <c r="F31" s="5" t="s">
        <v>372</v>
      </c>
    </row>
    <row r="32" customFormat="false" ht="15" hidden="false" customHeight="false" outlineLevel="0" collapsed="false">
      <c r="A32" s="5" t="s">
        <v>373</v>
      </c>
      <c r="B32" s="18" t="n">
        <f aca="false">B31/Данные!$C$25</f>
        <v>20</v>
      </c>
      <c r="C32" s="18" t="n">
        <f aca="false">C31/Данные!$C$25</f>
        <v>440</v>
      </c>
      <c r="D32" s="18" t="n">
        <f aca="false">D31/Данные!$C$25</f>
        <v>1320</v>
      </c>
      <c r="E32" s="5" t="s">
        <v>21</v>
      </c>
      <c r="F32" s="5" t="s">
        <v>374</v>
      </c>
    </row>
    <row r="33" customFormat="false" ht="15" hidden="false" customHeight="false" outlineLevel="0" collapsed="false">
      <c r="A33" s="17" t="s">
        <v>375</v>
      </c>
      <c r="B33" s="17"/>
      <c r="C33" s="17"/>
      <c r="D33" s="17"/>
      <c r="E33" s="17"/>
      <c r="F33" s="17"/>
    </row>
    <row r="34" customFormat="false" ht="23.85" hidden="false" customHeight="false" outlineLevel="0" collapsed="false">
      <c r="A34" s="19" t="s">
        <v>376</v>
      </c>
      <c r="B34" s="20" t="n">
        <f aca="false">B14+B17+B22+B25+B32</f>
        <v>15981.759869881</v>
      </c>
      <c r="C34" s="20" t="n">
        <f aca="false">C14+C17+C22+C25+C32</f>
        <v>28493.5979863495</v>
      </c>
      <c r="D34" s="20" t="n">
        <f aca="false">D14+D17+D22+D25+D32</f>
        <v>44599.9704715614</v>
      </c>
      <c r="E34" s="5" t="s">
        <v>377</v>
      </c>
      <c r="F34" s="5" t="s">
        <v>378</v>
      </c>
    </row>
    <row r="35" customFormat="false" ht="15" hidden="false" customHeight="false" outlineLevel="0" collapsed="false">
      <c r="A35" s="5" t="s">
        <v>379</v>
      </c>
      <c r="B35" s="15" t="n">
        <f aca="false">Допущения!C$21</f>
        <v>500000</v>
      </c>
      <c r="C35" s="15" t="n">
        <f aca="false">Допущения!D$21</f>
        <v>800000</v>
      </c>
      <c r="D35" s="15" t="n">
        <f aca="false">Допущения!E$21</f>
        <v>1000000</v>
      </c>
      <c r="E35" s="5" t="s">
        <v>148</v>
      </c>
      <c r="F35" s="5" t="s">
        <v>380</v>
      </c>
    </row>
    <row r="36" customFormat="false" ht="15" hidden="false" customHeight="false" outlineLevel="0" collapsed="false">
      <c r="A36" s="5" t="s">
        <v>381</v>
      </c>
      <c r="B36" s="18" t="n">
        <f aca="false">B34*B35</f>
        <v>7990879934.94052</v>
      </c>
      <c r="C36" s="18" t="n">
        <f aca="false">C34*C35</f>
        <v>22794878389.0796</v>
      </c>
      <c r="D36" s="18" t="n">
        <f aca="false">D34*D35</f>
        <v>44599970471.5614</v>
      </c>
      <c r="E36" s="5" t="s">
        <v>148</v>
      </c>
      <c r="F36" s="5" t="s">
        <v>165</v>
      </c>
    </row>
    <row r="37" customFormat="false" ht="15" hidden="false" customHeight="false" outlineLevel="0" collapsed="false">
      <c r="A37" s="19" t="s">
        <v>382</v>
      </c>
      <c r="B37" s="20" t="n">
        <f aca="false">B36/Данные!$C$30</f>
        <v>662819.029267041</v>
      </c>
      <c r="C37" s="20" t="n">
        <f aca="false">C36/Данные!$C$30</f>
        <v>1890765.38367767</v>
      </c>
      <c r="D37" s="20" t="n">
        <f aca="false">D36/Данные!$C$30</f>
        <v>3699431.02311411</v>
      </c>
      <c r="E37" s="5" t="s">
        <v>383</v>
      </c>
      <c r="F37" s="5" t="s">
        <v>384</v>
      </c>
    </row>
    <row r="38" customFormat="false" ht="23.85" hidden="false" customHeight="false" outlineLevel="0" collapsed="false">
      <c r="A38" s="17" t="s">
        <v>385</v>
      </c>
      <c r="B38" s="17"/>
      <c r="C38" s="17"/>
      <c r="D38" s="17"/>
      <c r="E38" s="17"/>
      <c r="F38" s="17"/>
    </row>
    <row r="39" customFormat="false" ht="15" hidden="false" customHeight="false" outlineLevel="0" collapsed="false">
      <c r="A39" s="5" t="s">
        <v>386</v>
      </c>
      <c r="B39" s="18" t="n">
        <f aca="false">B15*Допущения!C$10</f>
        <v>579.8925</v>
      </c>
      <c r="C39" s="18" t="n">
        <f aca="false">C15*Допущения!D$10</f>
        <v>1992.51</v>
      </c>
      <c r="D39" s="18" t="n">
        <f aca="false">D15*Допущения!E$10</f>
        <v>5734.3</v>
      </c>
      <c r="E39" s="5" t="s">
        <v>21</v>
      </c>
      <c r="F39" s="5" t="s">
        <v>165</v>
      </c>
    </row>
    <row r="40" customFormat="false" ht="15" hidden="false" customHeight="false" outlineLevel="0" collapsed="false">
      <c r="A40" s="5" t="s">
        <v>387</v>
      </c>
      <c r="B40" s="18" t="n">
        <f aca="false">B16*Допущения!C$11</f>
        <v>231.957</v>
      </c>
      <c r="C40" s="18" t="n">
        <f aca="false">C16*Допущения!D$11</f>
        <v>774.865</v>
      </c>
      <c r="D40" s="18" t="n">
        <f aca="false">D16*Допущения!E$11</f>
        <v>1720.29</v>
      </c>
      <c r="E40" s="5" t="s">
        <v>21</v>
      </c>
      <c r="F40" s="5" t="s">
        <v>165</v>
      </c>
    </row>
    <row r="41" customFormat="false" ht="15" hidden="false" customHeight="false" outlineLevel="0" collapsed="false">
      <c r="A41" s="5" t="s">
        <v>388</v>
      </c>
      <c r="B41" s="18" t="n">
        <f aca="false">B17*Допущения!C$10</f>
        <v>0</v>
      </c>
      <c r="C41" s="18" t="n">
        <f aca="false">C17*Допущения!D$10</f>
        <v>1328.34</v>
      </c>
      <c r="D41" s="18" t="n">
        <f aca="false">D17*Допущения!E$10</f>
        <v>5734.3</v>
      </c>
      <c r="E41" s="5" t="s">
        <v>21</v>
      </c>
      <c r="F41" s="5" t="s">
        <v>165</v>
      </c>
    </row>
    <row r="42" customFormat="false" ht="23.85" hidden="false" customHeight="false" outlineLevel="0" collapsed="false">
      <c r="A42" s="19" t="s">
        <v>389</v>
      </c>
      <c r="B42" s="20" t="n">
        <f aca="false">B39+B40+B41+B22+B25+B32</f>
        <v>1329.80936988104</v>
      </c>
      <c r="C42" s="20" t="n">
        <f aca="false">C39+C40+C41+C22+C25+C32</f>
        <v>6022.51298634945</v>
      </c>
      <c r="D42" s="20" t="n">
        <f aca="false">D39+D40+D41+D22+D25+D32</f>
        <v>17648.7604715614</v>
      </c>
      <c r="E42" s="5" t="s">
        <v>377</v>
      </c>
      <c r="F42" s="5" t="s">
        <v>165</v>
      </c>
    </row>
    <row r="43" customFormat="false" ht="15" hidden="false" customHeight="false" outlineLevel="0" collapsed="false">
      <c r="A43" s="5" t="s">
        <v>390</v>
      </c>
      <c r="B43" s="18" t="n">
        <f aca="false">B42*B35</f>
        <v>664904684.940522</v>
      </c>
      <c r="C43" s="18" t="n">
        <f aca="false">C42*C35</f>
        <v>4818010389.07956</v>
      </c>
      <c r="D43" s="18" t="n">
        <f aca="false">D42*D35</f>
        <v>17648760471.5614</v>
      </c>
      <c r="E43" s="5" t="s">
        <v>148</v>
      </c>
      <c r="F43" s="5" t="s">
        <v>165</v>
      </c>
    </row>
    <row r="44" customFormat="false" ht="15" hidden="false" customHeight="false" outlineLevel="0" collapsed="false">
      <c r="A44" s="19" t="s">
        <v>391</v>
      </c>
      <c r="B44" s="20" t="n">
        <f aca="false">B43/Данные!$C$30</f>
        <v>55151.8082383333</v>
      </c>
      <c r="C44" s="20" t="n">
        <f aca="false">C43/Данные!$C$30</f>
        <v>399639.213088991</v>
      </c>
      <c r="D44" s="20" t="n">
        <f aca="false">D43/Данные!$C$30</f>
        <v>1463910.65549327</v>
      </c>
      <c r="E44" s="5" t="s">
        <v>383</v>
      </c>
      <c r="F44" s="5" t="s">
        <v>165</v>
      </c>
    </row>
    <row r="45" customFormat="false" ht="15" hidden="false" customHeight="false" outlineLevel="0" collapsed="false">
      <c r="A45" s="5" t="s">
        <v>392</v>
      </c>
      <c r="B45" s="21" t="n">
        <f aca="false">B42/B34</f>
        <v>0.083207943349667</v>
      </c>
      <c r="C45" s="21" t="n">
        <f aca="false">C42/C34</f>
        <v>0.211363724203405</v>
      </c>
      <c r="D45" s="21" t="n">
        <f aca="false">D42/D34</f>
        <v>0.395712380186773</v>
      </c>
      <c r="E45" s="5" t="s">
        <v>43</v>
      </c>
      <c r="F45" s="5" t="s">
        <v>165</v>
      </c>
    </row>
    <row r="46" customFormat="false" ht="15" hidden="false" customHeight="false" outlineLevel="0" collapsed="false">
      <c r="A46" s="17" t="s">
        <v>393</v>
      </c>
      <c r="B46" s="17"/>
      <c r="C46" s="17"/>
      <c r="D46" s="17"/>
      <c r="E46" s="17"/>
      <c r="F46" s="17"/>
    </row>
    <row r="47" customFormat="false" ht="15" hidden="false" customHeight="false" outlineLevel="0" collapsed="false">
      <c r="A47" s="5" t="s">
        <v>394</v>
      </c>
      <c r="B47" s="18" t="n">
        <f aca="false">B9*2</f>
        <v>111825</v>
      </c>
      <c r="C47" s="18" t="n">
        <f aca="false">C9*2</f>
        <v>157449.6</v>
      </c>
      <c r="D47" s="18" t="n">
        <f aca="false">D9*2</f>
        <v>177130.8</v>
      </c>
      <c r="E47" s="5" t="s">
        <v>395</v>
      </c>
      <c r="F47" s="5" t="s">
        <v>165</v>
      </c>
    </row>
    <row r="48" customFormat="false" ht="15" hidden="false" customHeight="false" outlineLevel="0" collapsed="false">
      <c r="A48" s="5" t="s">
        <v>396</v>
      </c>
      <c r="B48" s="18" t="n">
        <f aca="false">B47*(1+Допущения!C$22)</f>
        <v>223650</v>
      </c>
      <c r="C48" s="18" t="n">
        <f aca="false">C47*(1+Допущения!D$22)</f>
        <v>472348.8</v>
      </c>
      <c r="D48" s="18" t="n">
        <f aca="false">D47*(1+Допущения!E$22)</f>
        <v>708523.2</v>
      </c>
      <c r="E48" s="5" t="s">
        <v>395</v>
      </c>
      <c r="F48" s="5" t="s">
        <v>165</v>
      </c>
    </row>
    <row r="49" customFormat="false" ht="15" hidden="false" customHeight="false" outlineLevel="0" collapsed="false">
      <c r="A49" s="19" t="s">
        <v>397</v>
      </c>
      <c r="B49" s="20" t="n">
        <f aca="false">B48*Допущения!C$23</f>
        <v>22365</v>
      </c>
      <c r="C49" s="20" t="n">
        <f aca="false">C48*Допущения!D$23</f>
        <v>94469.76</v>
      </c>
      <c r="D49" s="20" t="n">
        <f aca="false">D48*Допущения!E$23</f>
        <v>212556.96</v>
      </c>
      <c r="E49" s="5" t="s">
        <v>398</v>
      </c>
      <c r="F49" s="5" t="s">
        <v>165</v>
      </c>
    </row>
    <row r="50" customFormat="false" ht="15" hidden="false" customHeight="false" outlineLevel="0" collapsed="false">
      <c r="A50" s="5" t="s">
        <v>399</v>
      </c>
      <c r="B50" s="18" t="n">
        <f aca="false">B49/12</f>
        <v>1863.75</v>
      </c>
      <c r="C50" s="18" t="n">
        <f aca="false">C49/12</f>
        <v>7872.48</v>
      </c>
      <c r="D50" s="18" t="n">
        <f aca="false">D49/12</f>
        <v>17713.08</v>
      </c>
      <c r="E50" s="5" t="s">
        <v>400</v>
      </c>
      <c r="F50" s="5" t="s">
        <v>165</v>
      </c>
    </row>
    <row r="51" customFormat="false" ht="15" hidden="false" customHeight="false" outlineLevel="0" collapsed="false">
      <c r="A51" s="5" t="s">
        <v>401</v>
      </c>
      <c r="B51" s="10" t="n">
        <f aca="false">Допущения!C$24</f>
        <v>0.01</v>
      </c>
      <c r="C51" s="10" t="n">
        <f aca="false">Допущения!D$24</f>
        <v>0.03</v>
      </c>
      <c r="D51" s="10" t="n">
        <f aca="false">Допущения!E$24</f>
        <v>0.08</v>
      </c>
      <c r="E51" s="5" t="s">
        <v>43</v>
      </c>
      <c r="F51" s="5" t="s">
        <v>165</v>
      </c>
    </row>
    <row r="52" customFormat="false" ht="15" hidden="false" customHeight="false" outlineLevel="0" collapsed="false">
      <c r="A52" s="19" t="s">
        <v>402</v>
      </c>
      <c r="B52" s="20" t="n">
        <f aca="false">B50*B51</f>
        <v>18.6375</v>
      </c>
      <c r="C52" s="20" t="n">
        <f aca="false">C50*C51</f>
        <v>236.1744</v>
      </c>
      <c r="D52" s="20" t="n">
        <f aca="false">D50*D51</f>
        <v>1417.0464</v>
      </c>
      <c r="E52" s="5" t="s">
        <v>400</v>
      </c>
      <c r="F52" s="5" t="s">
        <v>165</v>
      </c>
    </row>
    <row r="53" customFormat="false" ht="15" hidden="false" customHeight="false" outlineLevel="0" collapsed="false">
      <c r="A53" s="5" t="s">
        <v>403</v>
      </c>
      <c r="B53" s="18" t="n">
        <f aca="false">B49*Допущения!C$25*Допущения!C$26</f>
        <v>22365000</v>
      </c>
      <c r="C53" s="18" t="n">
        <f aca="false">C49*Допущения!D$25*Допущения!D$26</f>
        <v>472348800</v>
      </c>
      <c r="D53" s="18" t="n">
        <f aca="false">D49*Допущения!E$25*Допущения!E$26</f>
        <v>3188354400</v>
      </c>
      <c r="E53" s="5" t="s">
        <v>148</v>
      </c>
      <c r="F53" s="5" t="s">
        <v>404</v>
      </c>
    </row>
    <row r="54" customFormat="false" ht="15" hidden="false" customHeight="false" outlineLevel="0" collapsed="false">
      <c r="A54" s="5" t="s">
        <v>405</v>
      </c>
      <c r="B54" s="18" t="n">
        <f aca="false">B53/Данные!$C$30</f>
        <v>1855.10828722866</v>
      </c>
      <c r="C54" s="18" t="n">
        <f aca="false">C53/Данные!$C$30</f>
        <v>39179.8870262693</v>
      </c>
      <c r="D54" s="18" t="n">
        <f aca="false">D53/Данные!$C$30</f>
        <v>264464.237427318</v>
      </c>
      <c r="E54" s="5" t="s">
        <v>383</v>
      </c>
      <c r="F54" s="5" t="s">
        <v>165</v>
      </c>
    </row>
    <row r="55" customFormat="false" ht="15" hidden="false" customHeight="false" outlineLevel="0" collapsed="false">
      <c r="A55" s="17" t="s">
        <v>406</v>
      </c>
      <c r="B55" s="17"/>
      <c r="C55" s="17"/>
      <c r="D55" s="17"/>
      <c r="E55" s="17"/>
      <c r="F55" s="17"/>
    </row>
    <row r="56" customFormat="false" ht="15" hidden="false" customHeight="false" outlineLevel="0" collapsed="false">
      <c r="A56" s="5" t="s">
        <v>407</v>
      </c>
      <c r="B56" s="10" t="n">
        <f aca="false">Допущения!C$27</f>
        <v>0.003</v>
      </c>
      <c r="C56" s="10" t="n">
        <f aca="false">Допущения!D$27</f>
        <v>0.01</v>
      </c>
      <c r="D56" s="10" t="n">
        <f aca="false">Допущения!E$27</f>
        <v>0.03</v>
      </c>
      <c r="E56" s="5" t="s">
        <v>43</v>
      </c>
      <c r="F56" s="5" t="s">
        <v>165</v>
      </c>
    </row>
    <row r="57" customFormat="false" ht="15" hidden="false" customHeight="false" outlineLevel="0" collapsed="false">
      <c r="A57" s="19" t="s">
        <v>408</v>
      </c>
      <c r="B57" s="23" t="n">
        <f aca="false">B42/12*B56</f>
        <v>0.332452342470261</v>
      </c>
      <c r="C57" s="23" t="n">
        <f aca="false">C42/12*C56</f>
        <v>5.01876082195788</v>
      </c>
      <c r="D57" s="23" t="n">
        <f aca="false">D42/12*D56</f>
        <v>44.1219011789034</v>
      </c>
      <c r="E57" s="5" t="s">
        <v>409</v>
      </c>
      <c r="F57" s="5" t="s">
        <v>165</v>
      </c>
    </row>
    <row r="58" customFormat="false" ht="15" hidden="false" customHeight="false" outlineLevel="0" collapsed="false">
      <c r="A58" s="5" t="s">
        <v>410</v>
      </c>
      <c r="B58" s="18" t="n">
        <f aca="false">B31*Допущения!C$20</f>
        <v>6</v>
      </c>
      <c r="C58" s="18" t="n">
        <f aca="false">C31*Допущения!D$20</f>
        <v>330</v>
      </c>
      <c r="D58" s="18" t="n">
        <f aca="false">D31*Допущения!E$20</f>
        <v>1980</v>
      </c>
      <c r="E58" s="5" t="s">
        <v>21</v>
      </c>
      <c r="F58" s="5" t="s">
        <v>165</v>
      </c>
    </row>
    <row r="59" customFormat="false" ht="23.85" hidden="false" customHeight="false" outlineLevel="0" collapsed="false">
      <c r="A59" s="5" t="s">
        <v>411</v>
      </c>
      <c r="B59" s="24" t="n">
        <f aca="false">B58*Допущения!C$28</f>
        <v>0.03</v>
      </c>
      <c r="C59" s="24" t="n">
        <f aca="false">C58*Допущения!D$28</f>
        <v>6.6</v>
      </c>
      <c r="D59" s="24" t="n">
        <f aca="false">D58*Допущения!E$28</f>
        <v>99</v>
      </c>
      <c r="E59" s="5" t="s">
        <v>412</v>
      </c>
      <c r="F59" s="5" t="s">
        <v>413</v>
      </c>
    </row>
    <row r="60" customFormat="false" ht="15" hidden="false" customHeight="false" outlineLevel="0" collapsed="false">
      <c r="A60" s="5" t="s">
        <v>414</v>
      </c>
      <c r="B60" s="24" t="n">
        <f aca="false">B59/Допущения!C$29</f>
        <v>0.01</v>
      </c>
      <c r="C60" s="24" t="n">
        <f aca="false">C59/Допущения!D$29</f>
        <v>2.2</v>
      </c>
      <c r="D60" s="24" t="n">
        <f aca="false">D59/Допущения!E$29</f>
        <v>33</v>
      </c>
      <c r="E60" s="5" t="s">
        <v>409</v>
      </c>
      <c r="F60" s="5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415</v>
      </c>
    </row>
    <row r="3" customFormat="false" ht="15" hidden="false" customHeight="false" outlineLevel="0" collapsed="false">
      <c r="A3" s="4" t="s">
        <v>11</v>
      </c>
      <c r="B3" s="4" t="s">
        <v>203</v>
      </c>
      <c r="C3" s="4" t="s">
        <v>204</v>
      </c>
      <c r="D3" s="4" t="s">
        <v>205</v>
      </c>
      <c r="E3" s="4" t="s">
        <v>13</v>
      </c>
      <c r="F3" s="4" t="s">
        <v>332</v>
      </c>
    </row>
    <row r="4" customFormat="false" ht="15" hidden="false" customHeight="false" outlineLevel="0" collapsed="false">
      <c r="A4" s="17" t="s">
        <v>416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5" t="s">
        <v>417</v>
      </c>
      <c r="B5" s="15" t="n">
        <f aca="false">Допущения!C$31</f>
        <v>600</v>
      </c>
      <c r="C5" s="15" t="n">
        <f aca="false">Допущения!D$31</f>
        <v>1500</v>
      </c>
      <c r="D5" s="15" t="n">
        <f aca="false">Допущения!E$31</f>
        <v>4500</v>
      </c>
      <c r="E5" s="5" t="s">
        <v>162</v>
      </c>
      <c r="F5" s="5" t="s">
        <v>418</v>
      </c>
    </row>
    <row r="6" customFormat="false" ht="15" hidden="false" customHeight="false" outlineLevel="0" collapsed="false">
      <c r="A6" s="5" t="s">
        <v>419</v>
      </c>
      <c r="B6" s="15" t="n">
        <f aca="false">Допущения!C$32</f>
        <v>300</v>
      </c>
      <c r="C6" s="15" t="n">
        <f aca="false">Допущения!D$32</f>
        <v>1200</v>
      </c>
      <c r="D6" s="15" t="n">
        <f aca="false">Допущения!E$32</f>
        <v>4000</v>
      </c>
      <c r="E6" s="5" t="s">
        <v>55</v>
      </c>
      <c r="F6" s="5" t="s">
        <v>165</v>
      </c>
    </row>
    <row r="7" customFormat="false" ht="15" hidden="false" customHeight="false" outlineLevel="0" collapsed="false">
      <c r="A7" s="5" t="s">
        <v>420</v>
      </c>
      <c r="B7" s="18" t="n">
        <f aca="false">B6*Допущения!C$33</f>
        <v>150</v>
      </c>
      <c r="C7" s="18" t="n">
        <f aca="false">C6*Допущения!D$33</f>
        <v>960</v>
      </c>
      <c r="D7" s="18" t="n">
        <f aca="false">D6*Допущения!E$33</f>
        <v>4000</v>
      </c>
      <c r="E7" s="5" t="s">
        <v>162</v>
      </c>
      <c r="F7" s="5" t="s">
        <v>165</v>
      </c>
    </row>
    <row r="8" customFormat="false" ht="15" hidden="false" customHeight="false" outlineLevel="0" collapsed="false">
      <c r="A8" s="5" t="s">
        <v>421</v>
      </c>
      <c r="B8" s="15" t="n">
        <f aca="false">Допущения!C$34</f>
        <v>1</v>
      </c>
      <c r="C8" s="15" t="n">
        <f aca="false">Допущения!D$34</f>
        <v>2</v>
      </c>
      <c r="D8" s="15" t="n">
        <f aca="false">Допущения!E$34</f>
        <v>5</v>
      </c>
      <c r="E8" s="5" t="s">
        <v>21</v>
      </c>
      <c r="F8" s="5" t="s">
        <v>165</v>
      </c>
    </row>
    <row r="9" customFormat="false" ht="15" hidden="false" customHeight="false" outlineLevel="0" collapsed="false">
      <c r="A9" s="5" t="s">
        <v>305</v>
      </c>
      <c r="B9" s="15" t="n">
        <f aca="false">Допущения!C$35</f>
        <v>0</v>
      </c>
      <c r="C9" s="15" t="n">
        <f aca="false">Допущения!D$35</f>
        <v>1</v>
      </c>
      <c r="D9" s="15" t="n">
        <f aca="false">Допущения!E$35</f>
        <v>3</v>
      </c>
      <c r="E9" s="5" t="s">
        <v>21</v>
      </c>
      <c r="F9" s="5" t="s">
        <v>165</v>
      </c>
    </row>
    <row r="10" customFormat="false" ht="15" hidden="false" customHeight="false" outlineLevel="0" collapsed="false">
      <c r="A10" s="5" t="s">
        <v>308</v>
      </c>
      <c r="B10" s="15" t="n">
        <f aca="false">Допущения!C$36</f>
        <v>0</v>
      </c>
      <c r="C10" s="15" t="n">
        <f aca="false">Допущения!D$36</f>
        <v>0</v>
      </c>
      <c r="D10" s="15" t="n">
        <f aca="false">Допущения!E$36</f>
        <v>1</v>
      </c>
      <c r="E10" s="5" t="s">
        <v>21</v>
      </c>
      <c r="F10" s="5" t="s">
        <v>165</v>
      </c>
    </row>
    <row r="11" customFormat="false" ht="15" hidden="false" customHeight="false" outlineLevel="0" collapsed="false">
      <c r="A11" s="5" t="s">
        <v>311</v>
      </c>
      <c r="B11" s="15" t="n">
        <f aca="false">Допущения!C$37</f>
        <v>0</v>
      </c>
      <c r="C11" s="15" t="n">
        <f aca="false">Допущения!D$37</f>
        <v>1</v>
      </c>
      <c r="D11" s="15" t="n">
        <f aca="false">Допущения!E$37</f>
        <v>1</v>
      </c>
      <c r="E11" s="5" t="s">
        <v>21</v>
      </c>
      <c r="F11" s="5" t="s">
        <v>165</v>
      </c>
    </row>
    <row r="12" customFormat="false" ht="15" hidden="false" customHeight="false" outlineLevel="0" collapsed="false">
      <c r="A12" s="19" t="s">
        <v>422</v>
      </c>
      <c r="B12" s="20" t="n">
        <f aca="false">B8+B9+B10+B11</f>
        <v>1</v>
      </c>
      <c r="C12" s="20" t="n">
        <f aca="false">C8+C9+C10+C11</f>
        <v>4</v>
      </c>
      <c r="D12" s="20" t="n">
        <f aca="false">D8+D9+D10+D11</f>
        <v>10</v>
      </c>
      <c r="E12" s="5" t="s">
        <v>21</v>
      </c>
      <c r="F12" s="5" t="s">
        <v>423</v>
      </c>
    </row>
    <row r="13" customFormat="false" ht="15" hidden="false" customHeight="false" outlineLevel="0" collapsed="false">
      <c r="A13" s="5" t="s">
        <v>424</v>
      </c>
      <c r="B13" s="18" t="n">
        <f aca="false">B12*Допущения!C$38</f>
        <v>100</v>
      </c>
      <c r="C13" s="18" t="n">
        <f aca="false">C12*Допущения!D$38</f>
        <v>800</v>
      </c>
      <c r="D13" s="18" t="n">
        <f aca="false">D12*Допущения!E$38</f>
        <v>3000</v>
      </c>
      <c r="E13" s="5" t="s">
        <v>162</v>
      </c>
      <c r="F13" s="5" t="s">
        <v>165</v>
      </c>
    </row>
    <row r="14" customFormat="false" ht="15" hidden="false" customHeight="false" outlineLevel="0" collapsed="false">
      <c r="A14" s="19" t="s">
        <v>425</v>
      </c>
      <c r="B14" s="20" t="n">
        <f aca="false">(B5+B7+B13)*(1+Допущения!C$39)</f>
        <v>935</v>
      </c>
      <c r="C14" s="20" t="n">
        <f aca="false">(C5+C7+C13)*(1+Допущения!D$39)</f>
        <v>3586</v>
      </c>
      <c r="D14" s="20" t="n">
        <f aca="false">(D5+D7+D13)*(1+Допущения!E$39)</f>
        <v>12650</v>
      </c>
      <c r="E14" s="5" t="s">
        <v>162</v>
      </c>
      <c r="F14" s="5" t="s">
        <v>165</v>
      </c>
    </row>
    <row r="15" customFormat="false" ht="15" hidden="false" customHeight="false" outlineLevel="0" collapsed="false">
      <c r="A15" s="17" t="s">
        <v>426</v>
      </c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5" t="s">
        <v>319</v>
      </c>
      <c r="B16" s="10" t="n">
        <f aca="false">Допущения!C$40</f>
        <v>0.06</v>
      </c>
      <c r="C16" s="10" t="n">
        <f aca="false">Допущения!D$40</f>
        <v>0.12</v>
      </c>
      <c r="D16" s="10" t="n">
        <f aca="false">Допущения!E$40</f>
        <v>0.2</v>
      </c>
      <c r="E16" s="5" t="s">
        <v>43</v>
      </c>
      <c r="F16" s="5" t="s">
        <v>165</v>
      </c>
    </row>
    <row r="17" customFormat="false" ht="15" hidden="false" customHeight="false" outlineLevel="0" collapsed="false">
      <c r="A17" s="19" t="s">
        <v>427</v>
      </c>
      <c r="B17" s="20" t="n">
        <f aca="false">B14*B16</f>
        <v>56.1</v>
      </c>
      <c r="C17" s="20" t="n">
        <f aca="false">C14*C16</f>
        <v>430.32</v>
      </c>
      <c r="D17" s="20" t="n">
        <f aca="false">D14*D16</f>
        <v>2530</v>
      </c>
      <c r="E17" s="5" t="s">
        <v>400</v>
      </c>
      <c r="F17" s="5" t="s">
        <v>165</v>
      </c>
    </row>
    <row r="18" customFormat="false" ht="15" hidden="false" customHeight="false" outlineLevel="0" collapsed="false">
      <c r="A18" s="5" t="s">
        <v>428</v>
      </c>
      <c r="B18" s="10" t="n">
        <f aca="false">Допущения!C$41</f>
        <v>0.08</v>
      </c>
      <c r="C18" s="10" t="n">
        <f aca="false">Допущения!D$41</f>
        <v>0.15</v>
      </c>
      <c r="D18" s="10" t="n">
        <f aca="false">Допущения!E$41</f>
        <v>0.2</v>
      </c>
      <c r="E18" s="5" t="s">
        <v>43</v>
      </c>
      <c r="F18" s="5" t="s">
        <v>165</v>
      </c>
    </row>
    <row r="19" customFormat="false" ht="23.85" hidden="false" customHeight="false" outlineLevel="0" collapsed="false">
      <c r="A19" s="5" t="s">
        <v>429</v>
      </c>
      <c r="B19" s="24" t="n">
        <f aca="false">B17*B18</f>
        <v>4.488</v>
      </c>
      <c r="C19" s="24" t="n">
        <f aca="false">C17*C18</f>
        <v>64.548</v>
      </c>
      <c r="D19" s="24" t="n">
        <f aca="false">D17*D18</f>
        <v>506</v>
      </c>
      <c r="E19" s="5" t="s">
        <v>430</v>
      </c>
      <c r="F19" s="5" t="s">
        <v>165</v>
      </c>
    </row>
    <row r="20" customFormat="false" ht="15" hidden="false" customHeight="false" outlineLevel="0" collapsed="false">
      <c r="A20" s="5" t="s">
        <v>431</v>
      </c>
      <c r="B20" s="10" t="n">
        <f aca="false">Допущения!C$42</f>
        <v>0.02</v>
      </c>
      <c r="C20" s="10" t="n">
        <f aca="false">Допущения!D$42</f>
        <v>0.035</v>
      </c>
      <c r="D20" s="10" t="n">
        <f aca="false">Допущения!E$42</f>
        <v>0.05</v>
      </c>
      <c r="E20" s="5" t="s">
        <v>43</v>
      </c>
      <c r="F20" s="5" t="s">
        <v>165</v>
      </c>
    </row>
    <row r="21" customFormat="false" ht="15" hidden="false" customHeight="false" outlineLevel="0" collapsed="false">
      <c r="A21" s="5" t="s">
        <v>432</v>
      </c>
      <c r="B21" s="24" t="n">
        <f aca="false">B19*B20</f>
        <v>0.08976</v>
      </c>
      <c r="C21" s="24" t="n">
        <f aca="false">C19*C20</f>
        <v>2.25918</v>
      </c>
      <c r="D21" s="24" t="n">
        <f aca="false">D19*D20</f>
        <v>25.3</v>
      </c>
      <c r="E21" s="5" t="s">
        <v>409</v>
      </c>
      <c r="F21" s="5" t="s">
        <v>165</v>
      </c>
    </row>
    <row r="22" customFormat="false" ht="15" hidden="false" customHeight="false" outlineLevel="0" collapsed="false">
      <c r="A22" s="5" t="s">
        <v>433</v>
      </c>
      <c r="B22" s="24" t="n">
        <f aca="false">B12*Допущения!C$43</f>
        <v>0.2</v>
      </c>
      <c r="C22" s="24" t="n">
        <f aca="false">C12*Допущения!D$43</f>
        <v>2</v>
      </c>
      <c r="D22" s="24" t="n">
        <f aca="false">D12*Допущения!E$43</f>
        <v>10</v>
      </c>
      <c r="E22" s="5" t="s">
        <v>409</v>
      </c>
      <c r="F22" s="5" t="s">
        <v>165</v>
      </c>
    </row>
    <row r="23" customFormat="false" ht="15" hidden="false" customHeight="false" outlineLevel="0" collapsed="false">
      <c r="A23" s="19" t="s">
        <v>434</v>
      </c>
      <c r="B23" s="23" t="n">
        <f aca="false">B21+B22</f>
        <v>0.28976</v>
      </c>
      <c r="C23" s="23" t="n">
        <f aca="false">C21+C22</f>
        <v>4.25918</v>
      </c>
      <c r="D23" s="23" t="n">
        <f aca="false">D21+D22</f>
        <v>35.3</v>
      </c>
      <c r="E23" s="5" t="s">
        <v>409</v>
      </c>
      <c r="F23" s="5" t="s">
        <v>165</v>
      </c>
    </row>
    <row r="24" customFormat="false" ht="15" hidden="false" customHeight="false" outlineLevel="0" collapsed="false">
      <c r="A24" s="17" t="s">
        <v>435</v>
      </c>
      <c r="B24" s="17"/>
      <c r="C24" s="17"/>
      <c r="D24" s="17"/>
      <c r="E24" s="17"/>
      <c r="F24" s="17"/>
    </row>
    <row r="25" customFormat="false" ht="15" hidden="false" customHeight="false" outlineLevel="0" collapsed="false">
      <c r="A25" s="5" t="s">
        <v>436</v>
      </c>
      <c r="B25" s="15" t="n">
        <f aca="false">Допущения!C$29</f>
        <v>3</v>
      </c>
      <c r="C25" s="15" t="n">
        <f aca="false">Допущения!D$29</f>
        <v>3</v>
      </c>
      <c r="D25" s="15" t="n">
        <f aca="false">Допущения!E$29</f>
        <v>3</v>
      </c>
      <c r="E25" s="5" t="s">
        <v>286</v>
      </c>
      <c r="F25" s="5" t="s">
        <v>165</v>
      </c>
    </row>
    <row r="26" customFormat="false" ht="15" hidden="false" customHeight="false" outlineLevel="0" collapsed="false">
      <c r="A26" s="19" t="s">
        <v>437</v>
      </c>
      <c r="B26" s="23" t="n">
        <f aca="false">B23*B25*Допущения!C$30</f>
        <v>0.43464</v>
      </c>
      <c r="C26" s="23" t="n">
        <f aca="false">C23*C25*Допущения!D$30</f>
        <v>6.38877</v>
      </c>
      <c r="D26" s="23" t="n">
        <f aca="false">D23*D25*Допущения!E$30</f>
        <v>52.95</v>
      </c>
      <c r="E26" s="5" t="s">
        <v>329</v>
      </c>
      <c r="F26" s="5" t="s">
        <v>165</v>
      </c>
    </row>
    <row r="27" customFormat="false" ht="15" hidden="false" customHeight="false" outlineLevel="0" collapsed="false">
      <c r="A27" s="5" t="s">
        <v>438</v>
      </c>
      <c r="B27" s="18" t="n">
        <f aca="false">B17*B25*Допущения!C$30</f>
        <v>84.15</v>
      </c>
      <c r="C27" s="18" t="n">
        <f aca="false">C17*C25*Допущения!D$30</f>
        <v>645.48</v>
      </c>
      <c r="D27" s="18" t="n">
        <f aca="false">D17*D25*Допущения!E$30</f>
        <v>3795</v>
      </c>
      <c r="E27" s="5" t="s">
        <v>439</v>
      </c>
      <c r="F27" s="5" t="s">
        <v>165</v>
      </c>
    </row>
    <row r="28" customFormat="false" ht="15" hidden="false" customHeight="false" outlineLevel="0" collapsed="false">
      <c r="A28" s="5" t="s">
        <v>440</v>
      </c>
      <c r="B28" s="18" t="n">
        <f aca="false">B26*Данные!$C$31</f>
        <v>434640</v>
      </c>
      <c r="C28" s="18" t="n">
        <f aca="false">C26*Данные!$C$31</f>
        <v>6388770</v>
      </c>
      <c r="D28" s="18" t="n">
        <f aca="false">D26*Данные!$C$31</f>
        <v>52950000</v>
      </c>
      <c r="E28" s="5" t="s">
        <v>148</v>
      </c>
      <c r="F28" s="5" t="s">
        <v>441</v>
      </c>
    </row>
    <row r="29" customFormat="false" ht="15" hidden="false" customHeight="false" outlineLevel="0" collapsed="false">
      <c r="A29" s="5" t="s">
        <v>405</v>
      </c>
      <c r="B29" s="18" t="n">
        <f aca="false">B28/Данные!$C$30</f>
        <v>36.052057498818</v>
      </c>
      <c r="C29" s="18" t="n">
        <f aca="false">C28/Данные!$C$30</f>
        <v>529.928914473411</v>
      </c>
      <c r="D29" s="18" t="n">
        <f aca="false">D28/Данные!$C$30</f>
        <v>4392.04041174861</v>
      </c>
      <c r="E29" s="5" t="s">
        <v>383</v>
      </c>
      <c r="F29" s="5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442</v>
      </c>
    </row>
    <row r="3" customFormat="false" ht="15" hidden="false" customHeight="false" outlineLevel="0" collapsed="false">
      <c r="A3" s="4" t="s">
        <v>443</v>
      </c>
      <c r="B3" s="4" t="s">
        <v>203</v>
      </c>
      <c r="C3" s="4" t="s">
        <v>204</v>
      </c>
      <c r="D3" s="4" t="s">
        <v>205</v>
      </c>
      <c r="E3" s="4" t="s">
        <v>13</v>
      </c>
      <c r="F3" s="4" t="s">
        <v>18</v>
      </c>
    </row>
    <row r="4" customFormat="false" ht="15" hidden="false" customHeight="false" outlineLevel="0" collapsed="false">
      <c r="A4" s="19" t="s">
        <v>444</v>
      </c>
      <c r="B4" s="15" t="n">
        <f aca="false">СнизуВверх!B17</f>
        <v>56.1</v>
      </c>
      <c r="C4" s="15" t="n">
        <f aca="false">СнизуВверх!C17</f>
        <v>430.32</v>
      </c>
      <c r="D4" s="15" t="n">
        <f aca="false">СнизуВверх!D17</f>
        <v>2530</v>
      </c>
      <c r="E4" s="5" t="s">
        <v>400</v>
      </c>
      <c r="F4" s="5" t="s">
        <v>445</v>
      </c>
    </row>
    <row r="5" customFormat="false" ht="15" hidden="false" customHeight="false" outlineLevel="0" collapsed="false">
      <c r="A5" s="5" t="s">
        <v>446</v>
      </c>
      <c r="B5" s="15" t="n">
        <f aca="false">СверхуВниз!B52</f>
        <v>18.6375</v>
      </c>
      <c r="C5" s="15" t="n">
        <f aca="false">СверхуВниз!C52</f>
        <v>236.1744</v>
      </c>
      <c r="D5" s="15" t="n">
        <f aca="false">СверхуВниз!D52</f>
        <v>1417.0464</v>
      </c>
      <c r="E5" s="5" t="s">
        <v>400</v>
      </c>
      <c r="F5" s="5" t="s">
        <v>447</v>
      </c>
    </row>
    <row r="6" customFormat="false" ht="15" hidden="false" customHeight="false" outlineLevel="0" collapsed="false">
      <c r="A6" s="19" t="s">
        <v>434</v>
      </c>
      <c r="B6" s="25" t="n">
        <f aca="false">СнизуВверх!B23</f>
        <v>0.28976</v>
      </c>
      <c r="C6" s="25" t="n">
        <f aca="false">СнизуВверх!C23</f>
        <v>4.25918</v>
      </c>
      <c r="D6" s="25" t="n">
        <f aca="false">СнизуВверх!D23</f>
        <v>35.3</v>
      </c>
      <c r="E6" s="5" t="s">
        <v>409</v>
      </c>
      <c r="F6" s="5" t="s">
        <v>448</v>
      </c>
    </row>
    <row r="7" customFormat="false" ht="15" hidden="false" customHeight="false" outlineLevel="0" collapsed="false">
      <c r="A7" s="5" t="s">
        <v>449</v>
      </c>
      <c r="B7" s="25" t="n">
        <f aca="false">СверхуВниз!B57</f>
        <v>0.332452342470261</v>
      </c>
      <c r="C7" s="25" t="n">
        <f aca="false">СверхуВниз!C57</f>
        <v>5.01876082195788</v>
      </c>
      <c r="D7" s="25" t="n">
        <f aca="false">СверхуВниз!D57</f>
        <v>44.1219011789034</v>
      </c>
      <c r="E7" s="5" t="s">
        <v>409</v>
      </c>
      <c r="F7" s="5" t="s">
        <v>450</v>
      </c>
    </row>
    <row r="8" customFormat="false" ht="15" hidden="false" customHeight="false" outlineLevel="0" collapsed="false">
      <c r="A8" s="5" t="s">
        <v>451</v>
      </c>
      <c r="B8" s="25" t="n">
        <f aca="false">СверхуВниз!B60</f>
        <v>0.01</v>
      </c>
      <c r="C8" s="25" t="n">
        <f aca="false">СверхуВниз!C60</f>
        <v>2.2</v>
      </c>
      <c r="D8" s="25" t="n">
        <f aca="false">СверхуВниз!D60</f>
        <v>33</v>
      </c>
      <c r="E8" s="5" t="s">
        <v>409</v>
      </c>
      <c r="F8" s="5" t="s">
        <v>452</v>
      </c>
    </row>
    <row r="9" customFormat="false" ht="15" hidden="false" customHeight="false" outlineLevel="0" collapsed="false">
      <c r="A9" s="5" t="s">
        <v>453</v>
      </c>
      <c r="B9" s="24" t="n">
        <f aca="false">B6+B8</f>
        <v>0.29976</v>
      </c>
      <c r="C9" s="24" t="n">
        <f aca="false">C6+C8</f>
        <v>6.45918</v>
      </c>
      <c r="D9" s="24" t="n">
        <f aca="false">D6+D8</f>
        <v>68.3</v>
      </c>
      <c r="E9" s="5" t="s">
        <v>409</v>
      </c>
      <c r="F9" s="5" t="s">
        <v>454</v>
      </c>
    </row>
    <row r="10" customFormat="false" ht="15" hidden="false" customHeight="false" outlineLevel="0" collapsed="false">
      <c r="A10" s="19" t="s">
        <v>455</v>
      </c>
      <c r="B10" s="25" t="n">
        <f aca="false">СнизуВверх!B26</f>
        <v>0.43464</v>
      </c>
      <c r="C10" s="25" t="n">
        <f aca="false">СнизуВверх!C26</f>
        <v>6.38877</v>
      </c>
      <c r="D10" s="25" t="n">
        <f aca="false">СнизуВверх!D26</f>
        <v>52.95</v>
      </c>
      <c r="E10" s="5" t="s">
        <v>329</v>
      </c>
      <c r="F10" s="5"/>
    </row>
    <row r="11" customFormat="false" ht="15" hidden="false" customHeight="false" outlineLevel="0" collapsed="false">
      <c r="A11" s="19" t="s">
        <v>456</v>
      </c>
      <c r="B11" s="15" t="n">
        <f aca="false">СнизуВверх!B12</f>
        <v>1</v>
      </c>
      <c r="C11" s="15" t="n">
        <f aca="false">СнизуВверх!C12</f>
        <v>4</v>
      </c>
      <c r="D11" s="15" t="n">
        <f aca="false">СнизуВверх!D12</f>
        <v>10</v>
      </c>
      <c r="E11" s="5" t="s">
        <v>21</v>
      </c>
      <c r="F11" s="5" t="s">
        <v>457</v>
      </c>
    </row>
    <row r="12" customFormat="false" ht="15" hidden="false" customHeight="false" outlineLevel="0" collapsed="false">
      <c r="A12" s="5" t="s">
        <v>458</v>
      </c>
      <c r="B12" s="15" t="n">
        <f aca="false">СнизуВверх!B29</f>
        <v>36.052057498818</v>
      </c>
      <c r="C12" s="15" t="n">
        <f aca="false">СнизуВверх!C29</f>
        <v>529.928914473411</v>
      </c>
      <c r="D12" s="15" t="n">
        <f aca="false">СнизуВверх!D29</f>
        <v>4392.04041174861</v>
      </c>
      <c r="E12" s="5" t="s">
        <v>383</v>
      </c>
      <c r="F12" s="5" t="s">
        <v>459</v>
      </c>
    </row>
    <row r="13" customFormat="false" ht="15" hidden="false" customHeight="false" outlineLevel="0" collapsed="false">
      <c r="A13" s="5" t="s">
        <v>460</v>
      </c>
      <c r="B13" s="15" t="n">
        <f aca="false">СверхуВниз!B42</f>
        <v>1329.80936988104</v>
      </c>
      <c r="C13" s="15" t="n">
        <f aca="false">СверхуВниз!C42</f>
        <v>6022.51298634945</v>
      </c>
      <c r="D13" s="15" t="n">
        <f aca="false">СверхуВниз!D42</f>
        <v>17648.7604715614</v>
      </c>
      <c r="E13" s="5" t="s">
        <v>377</v>
      </c>
      <c r="F13" s="5" t="s">
        <v>461</v>
      </c>
    </row>
    <row r="14" customFormat="false" ht="15" hidden="false" customHeight="false" outlineLevel="0" collapsed="false">
      <c r="A14" s="5" t="s">
        <v>382</v>
      </c>
      <c r="B14" s="15" t="n">
        <f aca="false">СверхуВниз!B37</f>
        <v>662819.029267041</v>
      </c>
      <c r="C14" s="15" t="n">
        <f aca="false">СверхуВниз!C37</f>
        <v>1890765.38367767</v>
      </c>
      <c r="D14" s="15" t="n">
        <f aca="false">СверхуВниз!D37</f>
        <v>3699431.02311411</v>
      </c>
      <c r="E14" s="5" t="s">
        <v>383</v>
      </c>
      <c r="F14" s="5" t="s">
        <v>462</v>
      </c>
    </row>
    <row r="15" customFormat="false" ht="15" hidden="false" customHeight="false" outlineLevel="0" collapsed="false">
      <c r="A15" s="5" t="s">
        <v>391</v>
      </c>
      <c r="B15" s="15" t="n">
        <f aca="false">СверхуВниз!B44</f>
        <v>55151.8082383333</v>
      </c>
      <c r="C15" s="15" t="n">
        <f aca="false">СверхуВниз!C44</f>
        <v>399639.213088991</v>
      </c>
      <c r="D15" s="15" t="n">
        <f aca="false">СверхуВниз!D44</f>
        <v>1463910.65549327</v>
      </c>
      <c r="E15" s="5" t="s">
        <v>383</v>
      </c>
      <c r="F15" s="5"/>
    </row>
    <row r="16" customFormat="false" ht="15" hidden="false" customHeight="false" outlineLevel="0" collapsed="false">
      <c r="A16" s="5" t="s">
        <v>463</v>
      </c>
      <c r="B16" s="21" t="n">
        <f aca="false">B6*12/B13</f>
        <v>0.00261475071446597</v>
      </c>
      <c r="C16" s="21" t="n">
        <f aca="false">C6*12/C13</f>
        <v>0.00848651719238225</v>
      </c>
      <c r="D16" s="21" t="n">
        <f aca="false">D6*12/D13</f>
        <v>0.0240016855961401</v>
      </c>
      <c r="E16" s="5" t="s">
        <v>43</v>
      </c>
      <c r="F16" s="5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465</v>
      </c>
    </row>
    <row r="3" customFormat="false" ht="15" hidden="false" customHeight="false" outlineLevel="0" collapsed="false">
      <c r="A3" s="4" t="s">
        <v>466</v>
      </c>
      <c r="B3" s="4" t="s">
        <v>203</v>
      </c>
      <c r="C3" s="4" t="s">
        <v>204</v>
      </c>
      <c r="D3" s="4" t="s">
        <v>205</v>
      </c>
      <c r="E3" s="4" t="s">
        <v>13</v>
      </c>
      <c r="F3" s="4" t="s">
        <v>467</v>
      </c>
    </row>
    <row r="4" customFormat="false" ht="23.85" hidden="false" customHeight="false" outlineLevel="0" collapsed="false">
      <c r="A4" s="5" t="s">
        <v>468</v>
      </c>
      <c r="B4" s="26" t="n">
        <f aca="false">Сценарии!B4/Сценарии!B5</f>
        <v>3.01006036217304</v>
      </c>
      <c r="C4" s="26" t="n">
        <f aca="false">Сценарии!C4/Сценарии!C5</f>
        <v>1.82204337133915</v>
      </c>
      <c r="D4" s="26" t="n">
        <f aca="false">Сценарии!D4/Сценарии!D5</f>
        <v>1.78540378070895</v>
      </c>
      <c r="E4" s="5" t="s">
        <v>246</v>
      </c>
      <c r="F4" s="5" t="s">
        <v>469</v>
      </c>
    </row>
    <row r="5" customFormat="false" ht="23.85" hidden="false" customHeight="false" outlineLevel="0" collapsed="false">
      <c r="A5" s="5" t="s">
        <v>470</v>
      </c>
      <c r="B5" s="5" t="str">
        <f aca="false">IF(OR(B4&gt;2,B4&lt;0.5),"не сошлось","сошлось (в 2 раза)")</f>
        <v>не сошлось</v>
      </c>
      <c r="C5" s="5" t="str">
        <f aca="false">IF(OR(C4&gt;2,C4&lt;0.5),"не сошлось","сошлось (в 2 раза)")</f>
        <v>сошлось (в 2 раза)</v>
      </c>
      <c r="D5" s="5" t="str">
        <f aca="false">IF(OR(D4&gt;2,D4&lt;0.5),"не сошлось","сошлось (в 2 раза)")</f>
        <v>сошлось (в 2 раза)</v>
      </c>
      <c r="E5" s="5"/>
      <c r="F5" s="5"/>
    </row>
    <row r="6" customFormat="false" ht="23.85" hidden="false" customHeight="false" outlineLevel="0" collapsed="false">
      <c r="A6" s="5" t="s">
        <v>471</v>
      </c>
      <c r="B6" s="26" t="n">
        <f aca="false">Сценарии!B6/Сценарии!B7</f>
        <v>0.871583571488657</v>
      </c>
      <c r="C6" s="26" t="n">
        <f aca="false">Сценарии!C6/Сценарии!C7</f>
        <v>0.848651719238225</v>
      </c>
      <c r="D6" s="26" t="n">
        <f aca="false">Сценарии!D6/Сценарии!D7</f>
        <v>0.800056186538002</v>
      </c>
      <c r="E6" s="5" t="s">
        <v>246</v>
      </c>
      <c r="F6" s="5" t="s">
        <v>472</v>
      </c>
    </row>
    <row r="7" customFormat="false" ht="23.85" hidden="false" customHeight="false" outlineLevel="0" collapsed="false">
      <c r="A7" s="5" t="s">
        <v>473</v>
      </c>
      <c r="B7" s="5" t="str">
        <f aca="false">IF(OR(B6&gt;2,B6&lt;0.5),"не сошлось","сошлось (в 2 раза)")</f>
        <v>сошлось (в 2 раза)</v>
      </c>
      <c r="C7" s="5" t="str">
        <f aca="false">IF(OR(C6&gt;2,C6&lt;0.5),"не сошлось","сошлось (в 2 раза)")</f>
        <v>сошлось (в 2 раза)</v>
      </c>
      <c r="D7" s="5" t="str">
        <f aca="false">IF(OR(D6&gt;2,D6&lt;0.5),"не сошлось","сошлось (в 2 раза)")</f>
        <v>сошлось (в 2 раза)</v>
      </c>
      <c r="E7" s="5"/>
      <c r="F7" s="5"/>
    </row>
    <row r="8" customFormat="false" ht="23.85" hidden="false" customHeight="false" outlineLevel="0" collapsed="false">
      <c r="A8" s="5" t="s">
        <v>474</v>
      </c>
      <c r="B8" s="26" t="n">
        <f aca="false">СнизуВверх!B14/Данные!$C$33</f>
        <v>0.133571428571429</v>
      </c>
      <c r="C8" s="26" t="n">
        <f aca="false">СнизуВверх!C14/Данные!$C$33</f>
        <v>0.512285714285714</v>
      </c>
      <c r="D8" s="26" t="n">
        <f aca="false">СнизуВверх!D14/Данные!$C$33</f>
        <v>1.80714285714286</v>
      </c>
      <c r="E8" s="5" t="s">
        <v>246</v>
      </c>
      <c r="F8" s="5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18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3" t="s">
        <v>476</v>
      </c>
    </row>
    <row r="3" customFormat="false" ht="15" hidden="false" customHeight="false" outlineLevel="0" collapsed="false">
      <c r="A3" s="4" t="s">
        <v>477</v>
      </c>
      <c r="B3" s="4" t="s">
        <v>478</v>
      </c>
      <c r="C3" s="4" t="s">
        <v>479</v>
      </c>
      <c r="D3" s="4" t="s">
        <v>480</v>
      </c>
      <c r="E3" s="4" t="s">
        <v>481</v>
      </c>
      <c r="F3" s="4" t="s">
        <v>482</v>
      </c>
    </row>
    <row r="4" customFormat="false" ht="15" hidden="false" customHeight="false" outlineLevel="0" collapsed="false">
      <c r="A4" s="5" t="s">
        <v>483</v>
      </c>
      <c r="B4" s="27" t="n">
        <f aca="false">((СнизуВверх!$C$5*0.8)+(СнизуВверх!$C$6*1*Допущения!D$33)+(СнизуВверх!$C$12*1*Допущения!D$38))*(1+Допущения!D$39)*СнизуВверх!$C$16*1*СнизуВверх!$C$18*1*СнизуВверх!$C$20*1+СнизуВверх!$C$12*1*Допущения!D$43*1</f>
        <v>4.05128</v>
      </c>
      <c r="C4" s="27" t="n">
        <f aca="false">((СнизуВверх!$C$5*1.2)+(СнизуВверх!$C$6*1*Допущения!D$33)+(СнизуВверх!$C$12*1*Допущения!D$38))*(1+Допущения!D$39)*СнизуВверх!$C$16*1*СнизуВверх!$C$18*1*СнизуВверх!$C$20*1+СнизуВверх!$C$12*1*Допущения!D$43*1</f>
        <v>4.46708</v>
      </c>
      <c r="D4" s="28" t="n">
        <f aca="false">B4-СнизуВверх!$C$23</f>
        <v>-0.2079</v>
      </c>
      <c r="E4" s="28" t="n">
        <f aca="false">C4-СнизуВверх!$C$23</f>
        <v>0.2079</v>
      </c>
      <c r="F4" s="28" t="n">
        <f aca="false">C4-B4</f>
        <v>0.4158</v>
      </c>
    </row>
    <row r="5" customFormat="false" ht="15" hidden="false" customHeight="false" outlineLevel="0" collapsed="false">
      <c r="A5" s="5" t="s">
        <v>484</v>
      </c>
      <c r="B5" s="27" t="n">
        <f aca="false">((СнизуВверх!$C$5*1)+(СнизуВверх!$C$6*0.8*Допущения!D$33)+(СнизуВверх!$C$12*1*Допущения!D$38))*(1+Допущения!D$39)*СнизуВверх!$C$16*1*СнизуВверх!$C$18*1*СнизуВверх!$C$20*1+СнизуВверх!$C$12*1*Допущения!D$43*1</f>
        <v>4.126124</v>
      </c>
      <c r="C5" s="27" t="n">
        <f aca="false">((СнизуВверх!$C$5*1)+(СнизуВверх!$C$6*1.2*Допущения!D$33)+(СнизуВверх!$C$12*1*Допущения!D$38))*(1+Допущения!D$39)*СнизуВверх!$C$16*1*СнизуВверх!$C$18*1*СнизуВверх!$C$20*1+СнизуВверх!$C$12*1*Допущения!D$43*1</f>
        <v>4.392236</v>
      </c>
      <c r="D5" s="28" t="n">
        <f aca="false">B5-СнизуВверх!$C$23</f>
        <v>-0.133056000000001</v>
      </c>
      <c r="E5" s="28" t="n">
        <f aca="false">C5-СнизуВверх!$C$23</f>
        <v>0.133056</v>
      </c>
      <c r="F5" s="28" t="n">
        <f aca="false">C5-B5</f>
        <v>0.266112000000001</v>
      </c>
    </row>
    <row r="6" customFormat="false" ht="15" hidden="false" customHeight="false" outlineLevel="0" collapsed="false">
      <c r="A6" s="5" t="s">
        <v>485</v>
      </c>
      <c r="B6" s="27" t="n">
        <f aca="false">((СнизуВверх!$C$5*1)+(СнизуВверх!$C$6*1*Допущения!D$33)+(СнизуВверх!$C$12*0.8*Допущения!D$38))*(1+Допущения!D$39)*СнизуВверх!$C$16*1*СнизуВверх!$C$18*1*СнизуВверх!$C$20*1+СнизуВверх!$C$12*0.8*Допущения!D$43*1</f>
        <v>3.7483</v>
      </c>
      <c r="C6" s="27" t="n">
        <f aca="false">((СнизуВверх!$C$5*1)+(СнизуВверх!$C$6*1*Допущения!D$33)+(СнизуВверх!$C$12*1.2*Допущения!D$38))*(1+Допущения!D$39)*СнизуВверх!$C$16*1*СнизуВверх!$C$18*1*СнизуВверх!$C$20*1+СнизуВверх!$C$12*1.2*Допущения!D$43*1</f>
        <v>4.77006</v>
      </c>
      <c r="D6" s="28" t="n">
        <f aca="false">B6-СнизуВверх!$C$23</f>
        <v>-0.51088</v>
      </c>
      <c r="E6" s="28" t="n">
        <f aca="false">C6-СнизуВверх!$C$23</f>
        <v>0.51088</v>
      </c>
      <c r="F6" s="28" t="n">
        <f aca="false">C6-B6</f>
        <v>1.02176</v>
      </c>
    </row>
    <row r="7" customFormat="false" ht="15" hidden="false" customHeight="false" outlineLevel="0" collapsed="false">
      <c r="A7" s="5" t="s">
        <v>319</v>
      </c>
      <c r="B7" s="27" t="n">
        <f aca="false">((СнизуВверх!$C$5*1)+(СнизуВверх!$C$6*1*Допущения!D$33)+(СнизуВверх!$C$12*1*Допущения!D$38))*(1+Допущения!D$39)*СнизуВверх!$C$16*0.8*СнизуВверх!$C$18*1*СнизуВверх!$C$20*1+СнизуВверх!$C$12*1*Допущения!D$43*1</f>
        <v>3.807344</v>
      </c>
      <c r="C7" s="27" t="n">
        <f aca="false">((СнизуВверх!$C$5*1)+(СнизуВверх!$C$6*1*Допущения!D$33)+(СнизуВверх!$C$12*1*Допущения!D$38))*(1+Допущения!D$39)*СнизуВверх!$C$16*1.2*СнизуВверх!$C$18*1*СнизуВверх!$C$20*1+СнизуВверх!$C$12*1*Допущения!D$43*1</f>
        <v>4.711016</v>
      </c>
      <c r="D7" s="28" t="n">
        <f aca="false">B7-СнизуВверх!$C$23</f>
        <v>-0.451836</v>
      </c>
      <c r="E7" s="28" t="n">
        <f aca="false">C7-СнизуВверх!$C$23</f>
        <v>0.451836</v>
      </c>
      <c r="F7" s="28" t="n">
        <f aca="false">C7-B7</f>
        <v>0.903672</v>
      </c>
    </row>
    <row r="8" customFormat="false" ht="15" hidden="false" customHeight="false" outlineLevel="0" collapsed="false">
      <c r="A8" s="5" t="s">
        <v>486</v>
      </c>
      <c r="B8" s="27" t="n">
        <f aca="false">((СнизуВверх!$C$5*1)+(СнизуВверх!$C$6*1*Допущения!D$33)+(СнизуВверх!$C$12*1*Допущения!D$38))*(1+Допущения!D$39)*СнизуВверх!$C$16*1*СнизуВверх!$C$18*0.8*СнизуВверх!$C$20*1+СнизуВверх!$C$12*1*Допущения!D$43*1</f>
        <v>3.807344</v>
      </c>
      <c r="C8" s="27" t="n">
        <f aca="false">((СнизуВверх!$C$5*1)+(СнизуВверх!$C$6*1*Допущения!D$33)+(СнизуВверх!$C$12*1*Допущения!D$38))*(1+Допущения!D$39)*СнизуВверх!$C$16*1*СнизуВверх!$C$18*1.2*СнизуВверх!$C$20*1+СнизуВверх!$C$12*1*Допущения!D$43*1</f>
        <v>4.711016</v>
      </c>
      <c r="D8" s="28" t="n">
        <f aca="false">B8-СнизуВверх!$C$23</f>
        <v>-0.451836</v>
      </c>
      <c r="E8" s="28" t="n">
        <f aca="false">C8-СнизуВверх!$C$23</f>
        <v>0.451836</v>
      </c>
      <c r="F8" s="28" t="n">
        <f aca="false">C8-B8</f>
        <v>0.903672</v>
      </c>
    </row>
    <row r="9" customFormat="false" ht="15" hidden="false" customHeight="false" outlineLevel="0" collapsed="false">
      <c r="A9" s="5" t="s">
        <v>487</v>
      </c>
      <c r="B9" s="27" t="n">
        <f aca="false">((СнизуВверх!$C$5*1)+(СнизуВверх!$C$6*1*Допущения!D$33)+(СнизуВверх!$C$12*1*Допущения!D$38))*(1+Допущения!D$39)*СнизуВверх!$C$16*1*СнизуВверх!$C$18*1*СнизуВверх!$C$20*0.8+СнизуВверх!$C$12*1*Допущения!D$43*1</f>
        <v>3.807344</v>
      </c>
      <c r="C9" s="27" t="n">
        <f aca="false">((СнизуВверх!$C$5*1)+(СнизуВверх!$C$6*1*Допущения!D$33)+(СнизуВверх!$C$12*1*Допущения!D$38))*(1+Допущения!D$39)*СнизуВверх!$C$16*1*СнизуВверх!$C$18*1*СнизуВверх!$C$20*1.2+СнизуВверх!$C$12*1*Допущения!D$43*1</f>
        <v>4.711016</v>
      </c>
      <c r="D9" s="28" t="n">
        <f aca="false">B9-СнизуВверх!$C$23</f>
        <v>-0.451836</v>
      </c>
      <c r="E9" s="28" t="n">
        <f aca="false">C9-СнизуВверх!$C$23</f>
        <v>0.451836</v>
      </c>
      <c r="F9" s="28" t="n">
        <f aca="false">C9-B9</f>
        <v>0.903672</v>
      </c>
    </row>
    <row r="10" customFormat="false" ht="15" hidden="false" customHeight="false" outlineLevel="0" collapsed="false">
      <c r="A10" s="5" t="s">
        <v>488</v>
      </c>
      <c r="B10" s="27" t="n">
        <f aca="false">((СнизуВверх!$C$5*1)+(СнизуВверх!$C$6*1*Допущения!D$33)+(СнизуВверх!$C$12*1*Допущения!D$38))*(1+Допущения!D$39)*СнизуВверх!$C$16*1*СнизуВверх!$C$18*1*СнизуВверх!$C$20*1+СнизуВверх!$C$12*1*Допущения!D$43*0.8</f>
        <v>3.85918</v>
      </c>
      <c r="C10" s="27" t="n">
        <f aca="false">((СнизуВверх!$C$5*1)+(СнизуВверх!$C$6*1*Допущения!D$33)+(СнизуВверх!$C$12*1*Допущения!D$38))*(1+Допущения!D$39)*СнизуВверх!$C$16*1*СнизуВверх!$C$18*1*СнизуВверх!$C$20*1+СнизуВверх!$C$12*1*Допущения!D$43*1.2</f>
        <v>4.65918</v>
      </c>
      <c r="D10" s="28" t="n">
        <f aca="false">B10-СнизуВверх!$C$23</f>
        <v>-0.4</v>
      </c>
      <c r="E10" s="28" t="n">
        <f aca="false">C10-СнизуВверх!$C$23</f>
        <v>0.399999999999999</v>
      </c>
      <c r="F10" s="28" t="n">
        <f aca="false">C10-B10</f>
        <v>0.8</v>
      </c>
    </row>
    <row r="12" customFormat="false" ht="23.85" hidden="false" customHeight="false" outlineLevel="0" collapsed="false">
      <c r="A12" s="19" t="s">
        <v>489</v>
      </c>
      <c r="B12" s="27" t="n">
        <f aca="false">((СнизуВверх!$C$5*1)+(СнизуВверх!$C$6*1*Допущения!D$33)+(СнизуВверх!$C$12*1*Допущения!D$38))*(1+Допущения!D$39)*СнизуВверх!$C$16*1*СнизуВверх!$C$18*1*СнизуВверх!$C$20*1+СнизуВверх!$C$12*1*Допущения!D$43*1</f>
        <v>4.25918</v>
      </c>
      <c r="C12" s="27" t="n">
        <f aca="false">СнизуВверх!$C$23</f>
        <v>4.25918</v>
      </c>
      <c r="D12" s="5" t="str">
        <f aca="false">IF(ABS(B12-C12)&lt;0.000001,"совпадает","РАСХОЖДЕНИЕ")</f>
        <v>совпадает</v>
      </c>
    </row>
    <row r="14" customFormat="false" ht="35.05" hidden="false" customHeight="false" outlineLevel="0" collapsed="false">
      <c r="A14" s="5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3" t="s">
        <v>491</v>
      </c>
    </row>
    <row r="3" customFormat="false" ht="15" hidden="false" customHeight="false" outlineLevel="0" collapsed="false">
      <c r="A3" s="4" t="s">
        <v>492</v>
      </c>
      <c r="B3" s="4" t="s">
        <v>11</v>
      </c>
      <c r="C3" s="4" t="s">
        <v>12</v>
      </c>
      <c r="D3" s="4" t="s">
        <v>493</v>
      </c>
      <c r="E3" s="4" t="s">
        <v>494</v>
      </c>
      <c r="F3" s="4" t="s">
        <v>17</v>
      </c>
      <c r="G3" s="4" t="s">
        <v>495</v>
      </c>
    </row>
    <row r="4" customFormat="false" ht="23.85" hidden="false" customHeight="false" outlineLevel="0" collapsed="false">
      <c r="A4" s="5" t="s">
        <v>496</v>
      </c>
      <c r="B4" s="5" t="s">
        <v>497</v>
      </c>
      <c r="C4" s="15" t="n">
        <f aca="false">Данные!$C$35</f>
        <v>1600000</v>
      </c>
      <c r="D4" s="5" t="s">
        <v>498</v>
      </c>
      <c r="E4" s="5" t="s">
        <v>164</v>
      </c>
      <c r="F4" s="5" t="s">
        <v>165</v>
      </c>
      <c r="G4" s="5" t="s">
        <v>499</v>
      </c>
    </row>
    <row r="5" customFormat="false" ht="23.85" hidden="false" customHeight="false" outlineLevel="0" collapsed="false">
      <c r="A5" s="5" t="s">
        <v>496</v>
      </c>
      <c r="B5" s="5" t="s">
        <v>500</v>
      </c>
      <c r="C5" s="6" t="n">
        <v>6510000</v>
      </c>
      <c r="D5" s="5" t="s">
        <v>501</v>
      </c>
      <c r="E5" s="5" t="s">
        <v>502</v>
      </c>
      <c r="F5" s="5" t="s">
        <v>503</v>
      </c>
      <c r="G5" s="5" t="s">
        <v>504</v>
      </c>
    </row>
    <row r="6" customFormat="false" ht="23.85" hidden="false" customHeight="false" outlineLevel="0" collapsed="false">
      <c r="A6" s="5" t="s">
        <v>505</v>
      </c>
      <c r="B6" s="5" t="s">
        <v>506</v>
      </c>
      <c r="C6" s="15" t="n">
        <f aca="false">Данные!$C$33</f>
        <v>7000</v>
      </c>
      <c r="D6" s="5" t="s">
        <v>498</v>
      </c>
      <c r="E6" s="5" t="s">
        <v>164</v>
      </c>
      <c r="F6" s="5" t="s">
        <v>165</v>
      </c>
      <c r="G6" s="5" t="s">
        <v>507</v>
      </c>
    </row>
    <row r="7" customFormat="false" ht="15" hidden="false" customHeight="false" outlineLevel="0" collapsed="false">
      <c r="A7" s="5" t="s">
        <v>508</v>
      </c>
      <c r="B7" s="5" t="s">
        <v>506</v>
      </c>
      <c r="C7" s="15" t="n">
        <f aca="false">Данные!$C$34</f>
        <v>11000</v>
      </c>
      <c r="D7" s="5" t="s">
        <v>498</v>
      </c>
      <c r="E7" s="5" t="s">
        <v>164</v>
      </c>
      <c r="F7" s="5" t="s">
        <v>165</v>
      </c>
      <c r="G7" s="5" t="s">
        <v>509</v>
      </c>
    </row>
    <row r="8" customFormat="false" ht="15" hidden="false" customHeight="false" outlineLevel="0" collapsed="false">
      <c r="A8" s="5" t="s">
        <v>510</v>
      </c>
      <c r="B8" s="5" t="s">
        <v>511</v>
      </c>
      <c r="C8" s="15" t="n">
        <f aca="false">Данные!$C$36</f>
        <v>29821</v>
      </c>
      <c r="D8" s="5" t="s">
        <v>512</v>
      </c>
      <c r="E8" s="5" t="s">
        <v>150</v>
      </c>
      <c r="F8" s="5" t="s">
        <v>25</v>
      </c>
      <c r="G8" s="5" t="s">
        <v>513</v>
      </c>
    </row>
    <row r="9" customFormat="false" ht="23.85" hidden="false" customHeight="false" outlineLevel="0" collapsed="false">
      <c r="A9" s="5" t="s">
        <v>514</v>
      </c>
      <c r="B9" s="5" t="s">
        <v>515</v>
      </c>
      <c r="C9" s="6" t="n">
        <v>289627</v>
      </c>
      <c r="D9" s="5" t="s">
        <v>516</v>
      </c>
      <c r="E9" s="5" t="s">
        <v>150</v>
      </c>
      <c r="F9" s="5" t="s">
        <v>152</v>
      </c>
      <c r="G9" s="5" t="s">
        <v>517</v>
      </c>
    </row>
    <row r="10" customFormat="false" ht="23.85" hidden="false" customHeight="false" outlineLevel="0" collapsed="false">
      <c r="A10" s="5" t="s">
        <v>518</v>
      </c>
      <c r="B10" s="5" t="s">
        <v>519</v>
      </c>
      <c r="C10" s="15" t="n">
        <f aca="false">Данные!$C$40</f>
        <v>25000000</v>
      </c>
      <c r="D10" s="5" t="s">
        <v>520</v>
      </c>
      <c r="E10" s="5" t="s">
        <v>199</v>
      </c>
      <c r="F10" s="5" t="s">
        <v>152</v>
      </c>
      <c r="G10" s="5" t="s">
        <v>521</v>
      </c>
    </row>
    <row r="12" customFormat="false" ht="46.25" hidden="false" customHeight="false" outlineLevel="0" collapsed="false">
      <c r="A12" s="19" t="s">
        <v>467</v>
      </c>
      <c r="B12" s="5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3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523</v>
      </c>
    </row>
    <row r="3" customFormat="false" ht="23.85" hidden="false" customHeight="false" outlineLevel="0" collapsed="false">
      <c r="A3" s="4" t="s">
        <v>524</v>
      </c>
      <c r="B3" s="4" t="s">
        <v>525</v>
      </c>
      <c r="C3" s="4" t="s">
        <v>526</v>
      </c>
      <c r="D3" s="4" t="s">
        <v>527</v>
      </c>
      <c r="E3" s="4" t="s">
        <v>528</v>
      </c>
      <c r="F3" s="4" t="s">
        <v>529</v>
      </c>
    </row>
    <row r="4" customFormat="false" ht="35.05" hidden="false" customHeight="false" outlineLevel="0" collapsed="false">
      <c r="A4" s="5" t="n">
        <v>1</v>
      </c>
      <c r="B4" s="29" t="s">
        <v>530</v>
      </c>
      <c r="C4" s="5" t="s">
        <v>531</v>
      </c>
      <c r="D4" s="5" t="s">
        <v>532</v>
      </c>
      <c r="E4" s="5" t="s">
        <v>533</v>
      </c>
      <c r="F4" s="5" t="s">
        <v>534</v>
      </c>
    </row>
    <row r="5" customFormat="false" ht="23.85" hidden="false" customHeight="false" outlineLevel="0" collapsed="false">
      <c r="A5" s="5" t="n">
        <v>2</v>
      </c>
      <c r="B5" s="29" t="s">
        <v>535</v>
      </c>
      <c r="C5" s="5" t="s">
        <v>536</v>
      </c>
      <c r="D5" s="5" t="s">
        <v>537</v>
      </c>
      <c r="E5" s="5" t="s">
        <v>538</v>
      </c>
      <c r="F5" s="5" t="s">
        <v>534</v>
      </c>
    </row>
    <row r="6" customFormat="false" ht="23.85" hidden="false" customHeight="false" outlineLevel="0" collapsed="false">
      <c r="A6" s="5" t="n">
        <v>3</v>
      </c>
      <c r="B6" s="29" t="s">
        <v>539</v>
      </c>
      <c r="C6" s="5" t="s">
        <v>536</v>
      </c>
      <c r="D6" s="5" t="s">
        <v>540</v>
      </c>
      <c r="E6" s="5" t="s">
        <v>541</v>
      </c>
      <c r="F6" s="5" t="s">
        <v>534</v>
      </c>
    </row>
    <row r="7" customFormat="false" ht="23.85" hidden="false" customHeight="false" outlineLevel="0" collapsed="false">
      <c r="A7" s="5" t="n">
        <v>4</v>
      </c>
      <c r="B7" s="29" t="s">
        <v>542</v>
      </c>
      <c r="C7" s="5" t="s">
        <v>536</v>
      </c>
      <c r="D7" s="5" t="s">
        <v>543</v>
      </c>
      <c r="E7" s="5" t="s">
        <v>544</v>
      </c>
      <c r="F7" s="5" t="s">
        <v>534</v>
      </c>
    </row>
    <row r="8" customFormat="false" ht="35.05" hidden="false" customHeight="false" outlineLevel="0" collapsed="false">
      <c r="A8" s="5" t="n">
        <v>5</v>
      </c>
      <c r="B8" s="29" t="s">
        <v>545</v>
      </c>
      <c r="C8" s="5" t="s">
        <v>546</v>
      </c>
      <c r="D8" s="5" t="s">
        <v>547</v>
      </c>
      <c r="E8" s="5" t="s">
        <v>548</v>
      </c>
      <c r="F8" s="5" t="s">
        <v>534</v>
      </c>
    </row>
    <row r="9" customFormat="false" ht="23.85" hidden="false" customHeight="false" outlineLevel="0" collapsed="false">
      <c r="A9" s="5" t="n">
        <v>6</v>
      </c>
      <c r="B9" s="29" t="s">
        <v>549</v>
      </c>
      <c r="C9" s="5" t="s">
        <v>550</v>
      </c>
      <c r="D9" s="5" t="s">
        <v>551</v>
      </c>
      <c r="E9" s="5" t="s">
        <v>552</v>
      </c>
      <c r="F9" s="5" t="s">
        <v>553</v>
      </c>
    </row>
    <row r="10" customFormat="false" ht="35.05" hidden="false" customHeight="false" outlineLevel="0" collapsed="false">
      <c r="A10" s="5" t="n">
        <v>7</v>
      </c>
      <c r="B10" s="29" t="s">
        <v>554</v>
      </c>
      <c r="C10" s="5" t="s">
        <v>555</v>
      </c>
      <c r="D10" s="5" t="s">
        <v>556</v>
      </c>
      <c r="E10" s="5" t="s">
        <v>557</v>
      </c>
      <c r="F10" s="5" t="s">
        <v>534</v>
      </c>
    </row>
    <row r="11" customFormat="false" ht="35.05" hidden="false" customHeight="false" outlineLevel="0" collapsed="false">
      <c r="A11" s="5" t="n">
        <v>8</v>
      </c>
      <c r="B11" s="29" t="s">
        <v>558</v>
      </c>
      <c r="C11" s="5" t="s">
        <v>559</v>
      </c>
      <c r="D11" s="5" t="s">
        <v>560</v>
      </c>
      <c r="E11" s="5" t="s">
        <v>561</v>
      </c>
      <c r="F11" s="5" t="s">
        <v>553</v>
      </c>
    </row>
    <row r="12" customFormat="false" ht="23.85" hidden="false" customHeight="false" outlineLevel="0" collapsed="false">
      <c r="A12" s="5" t="n">
        <v>9</v>
      </c>
      <c r="B12" s="29" t="s">
        <v>562</v>
      </c>
      <c r="C12" s="5" t="s">
        <v>563</v>
      </c>
      <c r="D12" s="5" t="s">
        <v>564</v>
      </c>
      <c r="E12" s="5" t="s">
        <v>565</v>
      </c>
      <c r="F12" s="5" t="s">
        <v>566</v>
      </c>
    </row>
    <row r="13" customFormat="false" ht="23.85" hidden="false" customHeight="false" outlineLevel="0" collapsed="false">
      <c r="A13" s="5" t="n">
        <v>10</v>
      </c>
      <c r="B13" s="29" t="s">
        <v>567</v>
      </c>
      <c r="C13" s="5" t="s">
        <v>568</v>
      </c>
      <c r="D13" s="5" t="s">
        <v>569</v>
      </c>
      <c r="E13" s="5" t="s">
        <v>570</v>
      </c>
      <c r="F13" s="5" t="s">
        <v>553</v>
      </c>
    </row>
    <row r="14" customFormat="false" ht="23.85" hidden="false" customHeight="false" outlineLevel="0" collapsed="false">
      <c r="A14" s="5" t="n">
        <v>11</v>
      </c>
      <c r="B14" s="29" t="s">
        <v>571</v>
      </c>
      <c r="C14" s="5" t="s">
        <v>572</v>
      </c>
      <c r="D14" s="5" t="s">
        <v>573</v>
      </c>
      <c r="E14" s="5" t="s">
        <v>574</v>
      </c>
      <c r="F14" s="5" t="s">
        <v>534</v>
      </c>
    </row>
    <row r="15" customFormat="false" ht="15" hidden="false" customHeight="false" outlineLevel="0" collapsed="false">
      <c r="A15" s="5" t="n">
        <v>12</v>
      </c>
      <c r="B15" s="29" t="s">
        <v>575</v>
      </c>
      <c r="C15" s="5" t="s">
        <v>576</v>
      </c>
      <c r="D15" s="5" t="s">
        <v>577</v>
      </c>
      <c r="E15" s="5" t="s">
        <v>225</v>
      </c>
      <c r="F15" s="5" t="s">
        <v>534</v>
      </c>
    </row>
    <row r="16" customFormat="false" ht="23.85" hidden="false" customHeight="false" outlineLevel="0" collapsed="false">
      <c r="A16" s="5" t="n">
        <v>13</v>
      </c>
      <c r="B16" s="29" t="s">
        <v>578</v>
      </c>
      <c r="C16" s="5" t="s">
        <v>579</v>
      </c>
      <c r="D16" s="5" t="s">
        <v>580</v>
      </c>
      <c r="E16" s="5" t="s">
        <v>581</v>
      </c>
      <c r="F16" s="5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3" t="s">
        <v>582</v>
      </c>
    </row>
    <row r="3" customFormat="false" ht="15" hidden="false" customHeight="false" outlineLevel="0" collapsed="false">
      <c r="A3" s="4" t="s">
        <v>450</v>
      </c>
      <c r="B3" s="4" t="s">
        <v>12</v>
      </c>
      <c r="C3" s="4" t="s">
        <v>583</v>
      </c>
      <c r="D3" s="4" t="s">
        <v>584</v>
      </c>
      <c r="E3" s="4" t="s">
        <v>495</v>
      </c>
    </row>
    <row r="4" customFormat="false" ht="15" hidden="false" customHeight="false" outlineLevel="0" collapsed="false">
      <c r="A4" s="5" t="s">
        <v>585</v>
      </c>
      <c r="B4" s="30" t="n">
        <f aca="false">(Данные!$C$10/(Данные!$C$4*Данные!$C$9))/(Данные!$C$12/Данные!$C$11)</f>
        <v>0.980224783041684</v>
      </c>
      <c r="C4" s="5" t="s">
        <v>586</v>
      </c>
      <c r="D4" s="19" t="str">
        <f aca="false">IF(AND(B4&gt;=0.9,B4&lt;=1.1),"OK","ВНИМАНИЕ")</f>
        <v>OK</v>
      </c>
      <c r="E4" s="5" t="s">
        <v>587</v>
      </c>
    </row>
    <row r="5" customFormat="false" ht="15" hidden="false" customHeight="false" outlineLevel="0" collapsed="false">
      <c r="A5" s="5" t="s">
        <v>588</v>
      </c>
      <c r="B5" s="30" t="n">
        <f aca="false">Данные!$C$13/Данные!$C$12-Данные!$C$8</f>
        <v>-0.00189312977099237</v>
      </c>
      <c r="C5" s="5" t="s">
        <v>589</v>
      </c>
      <c r="D5" s="19" t="str">
        <f aca="false">IF(ABS(B5)&lt;0.05,"OK","ВНИМАНИЕ")</f>
        <v>OK</v>
      </c>
      <c r="E5" s="5" t="s">
        <v>590</v>
      </c>
    </row>
    <row r="6" customFormat="false" ht="15" hidden="false" customHeight="false" outlineLevel="0" collapsed="false">
      <c r="A6" s="5" t="s">
        <v>591</v>
      </c>
      <c r="B6" s="30" t="n">
        <f aca="false">Данные!$C$18/Данные!$C$17</f>
        <v>1.06628754220722</v>
      </c>
      <c r="C6" s="5" t="s">
        <v>592</v>
      </c>
      <c r="D6" s="19" t="str">
        <f aca="false">IF(AND(B6&gt;=0.95,B6&lt;=1.25),"OK","ВНИМАНИЕ")</f>
        <v>OK</v>
      </c>
      <c r="E6" s="5" t="s">
        <v>593</v>
      </c>
    </row>
    <row r="7" customFormat="false" ht="23.85" hidden="false" customHeight="false" outlineLevel="0" collapsed="false">
      <c r="A7" s="5" t="s">
        <v>594</v>
      </c>
      <c r="B7" s="30" t="n">
        <f aca="false">СверхуВниз!C10</f>
        <v>0.139905455837924</v>
      </c>
      <c r="C7" s="5" t="s">
        <v>595</v>
      </c>
      <c r="D7" s="19" t="str">
        <f aca="false">IF(B7&lt;0.12,"OK","ВНИМАНИЕ")</f>
        <v>ВНИМАНИЕ</v>
      </c>
      <c r="E7" s="5" t="s">
        <v>596</v>
      </c>
    </row>
    <row r="8" customFormat="false" ht="23.85" hidden="false" customHeight="false" outlineLevel="0" collapsed="false">
      <c r="A8" s="5" t="s">
        <v>597</v>
      </c>
      <c r="B8" s="30" t="n">
        <f aca="false">Данные!$C$16/Данные!$C$11</f>
        <v>0.506236054022314</v>
      </c>
      <c r="C8" s="5" t="s">
        <v>598</v>
      </c>
      <c r="D8" s="19" t="str">
        <f aca="false">IF(AND(B8&gt;=0.7,B8&lt;=0.95),"OK","НЕ СХОДИТСЯ")</f>
        <v>НЕ СХОДИТСЯ</v>
      </c>
      <c r="E8" s="5" t="s">
        <v>599</v>
      </c>
    </row>
    <row r="9" customFormat="false" ht="15" hidden="false" customHeight="false" outlineLevel="0" collapsed="false">
      <c r="A9" s="5" t="s">
        <v>600</v>
      </c>
      <c r="B9" s="30" t="n">
        <f aca="false">(1-Данные!$C$23)+Данные!$C$23</f>
        <v>1</v>
      </c>
      <c r="C9" s="5" t="n">
        <f aca="false">1</f>
        <v>1</v>
      </c>
      <c r="D9" s="19" t="str">
        <f aca="false">IF(ABS(B9-1)&lt;0.0001,"OK","ОШИБКА")</f>
        <v>OK</v>
      </c>
      <c r="E9" s="5" t="s">
        <v>601</v>
      </c>
    </row>
    <row r="10" customFormat="false" ht="15" hidden="false" customHeight="false" outlineLevel="0" collapsed="false">
      <c r="A10" s="5" t="s">
        <v>602</v>
      </c>
      <c r="B10" s="30" t="n">
        <f aca="false">СнизуВверх!B23</f>
        <v>0.28976</v>
      </c>
      <c r="C10" s="5" t="s">
        <v>603</v>
      </c>
      <c r="D10" s="19" t="str">
        <f aca="false">IF(AND(СнизуВверх!B23&lt;=СнизуВверх!C23,СнизуВверх!C23&lt;=СнизуВверх!D23),"OK","ОШИБКА")</f>
        <v>OK</v>
      </c>
      <c r="E10" s="5" t="s">
        <v>604</v>
      </c>
    </row>
    <row r="11" customFormat="false" ht="15" hidden="false" customHeight="false" outlineLevel="0" collapsed="false">
      <c r="A11" s="5" t="s">
        <v>605</v>
      </c>
      <c r="B11" s="30" t="n">
        <f aca="false">СверхуВниз!B42</f>
        <v>1329.80936988104</v>
      </c>
      <c r="C11" s="5" t="s">
        <v>603</v>
      </c>
      <c r="D11" s="19" t="str">
        <f aca="false">IF(AND(СверхуВниз!B42&lt;=СверхуВниз!C42,СверхуВниз!C42&lt;=СверхуВниз!D42),"OK","ОШИБКА")</f>
        <v>OK</v>
      </c>
      <c r="E11" s="5" t="s">
        <v>604</v>
      </c>
    </row>
    <row r="12" customFormat="false" ht="15" hidden="false" customHeight="false" outlineLevel="0" collapsed="false">
      <c r="A12" s="5" t="s">
        <v>606</v>
      </c>
      <c r="B12" s="30" t="n">
        <f aca="false">СверхуВниз!C42/СверхуВниз!C34</f>
        <v>0.211363724203405</v>
      </c>
      <c r="C12" s="5" t="s">
        <v>607</v>
      </c>
      <c r="D12" s="19" t="str">
        <f aca="false">IF(B12&lt;=1,"OK","ОШИБКА")</f>
        <v>OK</v>
      </c>
      <c r="E12" s="5" t="s">
        <v>608</v>
      </c>
    </row>
    <row r="13" customFormat="false" ht="15" hidden="false" customHeight="false" outlineLevel="0" collapsed="false">
      <c r="A13" s="5" t="s">
        <v>609</v>
      </c>
      <c r="B13" s="30" t="n">
        <f aca="false">Сценарии!C16</f>
        <v>0.00848651719238225</v>
      </c>
      <c r="C13" s="5" t="s">
        <v>610</v>
      </c>
      <c r="D13" s="19" t="str">
        <f aca="false">IF(B13&lt;0.1,"OK","ВНИМАНИЕ")</f>
        <v>OK</v>
      </c>
      <c r="E13" s="5" t="s">
        <v>611</v>
      </c>
    </row>
    <row r="14" customFormat="false" ht="15" hidden="false" customHeight="false" outlineLevel="0" collapsed="false">
      <c r="A14" s="5" t="s">
        <v>612</v>
      </c>
      <c r="B14" s="30" t="n">
        <f aca="false">Чувствительность!B12-Чувствительность!C12</f>
        <v>0</v>
      </c>
      <c r="C14" s="5" t="n">
        <f aca="false">0</f>
        <v>0</v>
      </c>
      <c r="D14" s="19" t="str">
        <f aca="false">IF(ABS(B14)&lt;0.000001,"OK","ОШИБКА")</f>
        <v>OK</v>
      </c>
      <c r="E14" s="5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2026-10-18T15:47:48Z</dcterms:created>
  <dc:creator>openpyxl</dc:creator>
  <dc:description/>
  <dc:language>en-US</dc:language>
  <cp:lastModifiedBy/>
  <dcterms:modified xsi:type="dcterms:W3CDTF">2026-10-18T20:47:50Z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